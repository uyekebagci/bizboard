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04.05.2026" sheetId="1" r:id="rId1"/>
    <sheet name="05.05.2026" sheetId="2" r:id="rId2"/>
    <sheet name="06.06.2026" sheetId="3" r:id="rId3"/>
    <sheet name="07.05.2026" sheetId="4" r:id="rId4"/>
    <sheet name="08.05.2026" sheetId="5" r:id="rId5"/>
    <sheet name="11.05.2026" sheetId="6" r:id="rId6"/>
    <sheet name="12.05.2026" sheetId="7" r:id="rId7"/>
    <sheet name="13.05.2026" sheetId="8" r:id="rId8"/>
    <sheet name="14.05.2026" sheetId="9" r:id="rId9"/>
    <sheet name="15.05.2026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2" i="3" l="1"/>
  <c r="H56" i="3"/>
  <c r="H55" i="3"/>
  <c r="H54" i="3"/>
  <c r="H57" i="3" s="1"/>
  <c r="G51" i="3"/>
  <c r="B50" i="3"/>
  <c r="B62" i="3" s="1"/>
  <c r="I25" i="3" s="1"/>
  <c r="H48" i="3"/>
  <c r="H47" i="3"/>
  <c r="H46" i="3"/>
  <c r="B46" i="3"/>
  <c r="H40" i="3" s="1"/>
  <c r="B45" i="3"/>
  <c r="H38" i="3" s="1"/>
  <c r="G44" i="3"/>
  <c r="B44" i="3"/>
  <c r="H39" i="3" s="1"/>
  <c r="B43" i="3"/>
  <c r="H37" i="3" s="1"/>
  <c r="B42" i="3"/>
  <c r="H36" i="3" s="1"/>
  <c r="B41" i="3"/>
  <c r="B40" i="3"/>
  <c r="B39" i="3"/>
  <c r="B47" i="3" s="1"/>
  <c r="I4" i="3" s="1"/>
  <c r="H35" i="3"/>
  <c r="H34" i="3"/>
  <c r="H33" i="3"/>
  <c r="E61" i="2"/>
  <c r="B61" i="2"/>
  <c r="I24" i="2" s="1"/>
  <c r="H55" i="2"/>
  <c r="H54" i="2"/>
  <c r="H56" i="2" s="1"/>
  <c r="H53" i="2"/>
  <c r="B49" i="2"/>
  <c r="H47" i="2"/>
  <c r="H46" i="2"/>
  <c r="H45" i="2"/>
  <c r="G50" i="2" s="1"/>
  <c r="B45" i="2"/>
  <c r="H39" i="2" s="1"/>
  <c r="B44" i="2"/>
  <c r="H37" i="2" s="1"/>
  <c r="G43" i="2"/>
  <c r="B43" i="2"/>
  <c r="B42" i="2"/>
  <c r="B41" i="2"/>
  <c r="B40" i="2"/>
  <c r="B39" i="2"/>
  <c r="H33" i="2" s="1"/>
  <c r="H38" i="2"/>
  <c r="B38" i="2"/>
  <c r="H32" i="2" s="1"/>
  <c r="H36" i="2"/>
  <c r="H35" i="2"/>
  <c r="H34" i="2"/>
  <c r="E62" i="10"/>
  <c r="H56" i="10"/>
  <c r="H55" i="10"/>
  <c r="H54" i="10"/>
  <c r="H57" i="10" s="1"/>
  <c r="G51" i="10"/>
  <c r="B50" i="10"/>
  <c r="B62" i="10" s="1"/>
  <c r="I25" i="10" s="1"/>
  <c r="H48" i="10"/>
  <c r="H47" i="10"/>
  <c r="B47" i="10"/>
  <c r="I4" i="10" s="1"/>
  <c r="H46" i="10"/>
  <c r="B46" i="10"/>
  <c r="B45" i="10"/>
  <c r="H38" i="10" s="1"/>
  <c r="G44" i="10"/>
  <c r="B44" i="10"/>
  <c r="B43" i="10"/>
  <c r="B42" i="10"/>
  <c r="B41" i="10"/>
  <c r="H35" i="10" s="1"/>
  <c r="H40" i="10"/>
  <c r="B40" i="10"/>
  <c r="H34" i="10" s="1"/>
  <c r="H39" i="10"/>
  <c r="B39" i="10"/>
  <c r="H37" i="10"/>
  <c r="H36" i="10"/>
  <c r="H33" i="10"/>
  <c r="F22" i="9"/>
  <c r="E62" i="9"/>
  <c r="B62" i="9"/>
  <c r="H56" i="9"/>
  <c r="H55" i="9"/>
  <c r="H54" i="9"/>
  <c r="H57" i="9" s="1"/>
  <c r="G51" i="9"/>
  <c r="B50" i="9"/>
  <c r="H48" i="9"/>
  <c r="H47" i="9"/>
  <c r="B47" i="9"/>
  <c r="I4" i="9" s="1"/>
  <c r="H46" i="9"/>
  <c r="B46" i="9"/>
  <c r="B45" i="9"/>
  <c r="H38" i="9" s="1"/>
  <c r="G44" i="9"/>
  <c r="B44" i="9"/>
  <c r="B43" i="9"/>
  <c r="H37" i="9" s="1"/>
  <c r="B42" i="9"/>
  <c r="B41" i="9"/>
  <c r="H35" i="9" s="1"/>
  <c r="H40" i="9"/>
  <c r="B40" i="9"/>
  <c r="H34" i="9" s="1"/>
  <c r="H39" i="9"/>
  <c r="B39" i="9"/>
  <c r="H36" i="9"/>
  <c r="H33" i="9"/>
  <c r="H44" i="9" s="1"/>
  <c r="I25" i="9"/>
  <c r="E62" i="8"/>
  <c r="B62" i="8"/>
  <c r="I25" i="8" s="1"/>
  <c r="H56" i="8"/>
  <c r="J55" i="8"/>
  <c r="H55" i="8"/>
  <c r="H57" i="8" s="1"/>
  <c r="H54" i="8"/>
  <c r="B50" i="8"/>
  <c r="H48" i="8"/>
  <c r="H47" i="8"/>
  <c r="H46" i="8"/>
  <c r="G51" i="8" s="1"/>
  <c r="B46" i="8"/>
  <c r="B45" i="8"/>
  <c r="H38" i="8" s="1"/>
  <c r="G44" i="8"/>
  <c r="B44" i="8"/>
  <c r="B43" i="8"/>
  <c r="B42" i="8"/>
  <c r="B41" i="8"/>
  <c r="H40" i="8"/>
  <c r="B40" i="8"/>
  <c r="H34" i="8" s="1"/>
  <c r="H39" i="8"/>
  <c r="B39" i="8"/>
  <c r="H33" i="8" s="1"/>
  <c r="H37" i="8"/>
  <c r="H36" i="8"/>
  <c r="H35" i="8"/>
  <c r="I73" i="7"/>
  <c r="E62" i="7"/>
  <c r="H56" i="7"/>
  <c r="H55" i="7"/>
  <c r="H54" i="7"/>
  <c r="H57" i="7" s="1"/>
  <c r="G51" i="7"/>
  <c r="B50" i="7"/>
  <c r="B62" i="7" s="1"/>
  <c r="I25" i="7" s="1"/>
  <c r="H48" i="7"/>
  <c r="H47" i="7"/>
  <c r="H46" i="7"/>
  <c r="B46" i="7"/>
  <c r="B45" i="7"/>
  <c r="H38" i="7" s="1"/>
  <c r="G44" i="7"/>
  <c r="B44" i="7"/>
  <c r="H39" i="7" s="1"/>
  <c r="B43" i="7"/>
  <c r="H37" i="7" s="1"/>
  <c r="B42" i="7"/>
  <c r="H36" i="7" s="1"/>
  <c r="B41" i="7"/>
  <c r="H35" i="7" s="1"/>
  <c r="H40" i="7"/>
  <c r="B40" i="7"/>
  <c r="H34" i="7" s="1"/>
  <c r="B39" i="7"/>
  <c r="B47" i="7" s="1"/>
  <c r="I4" i="7" s="1"/>
  <c r="H33" i="7"/>
  <c r="H62" i="6"/>
  <c r="E62" i="6"/>
  <c r="H61" i="6"/>
  <c r="H60" i="6"/>
  <c r="H59" i="6"/>
  <c r="H56" i="6"/>
  <c r="H55" i="6"/>
  <c r="H54" i="6"/>
  <c r="H57" i="6" s="1"/>
  <c r="G51" i="6"/>
  <c r="B50" i="6"/>
  <c r="B62" i="6" s="1"/>
  <c r="I25" i="6" s="1"/>
  <c r="H48" i="6"/>
  <c r="H47" i="6"/>
  <c r="H46" i="6"/>
  <c r="B46" i="6"/>
  <c r="H40" i="6" s="1"/>
  <c r="B45" i="6"/>
  <c r="H38" i="6" s="1"/>
  <c r="G44" i="6"/>
  <c r="B44" i="6"/>
  <c r="H39" i="6" s="1"/>
  <c r="B43" i="6"/>
  <c r="H37" i="6" s="1"/>
  <c r="B42" i="6"/>
  <c r="H36" i="6" s="1"/>
  <c r="B41" i="6"/>
  <c r="H35" i="6" s="1"/>
  <c r="B40" i="6"/>
  <c r="B39" i="6"/>
  <c r="B47" i="6" s="1"/>
  <c r="I4" i="6" s="1"/>
  <c r="H34" i="6"/>
  <c r="H33" i="6"/>
  <c r="E62" i="5"/>
  <c r="H56" i="5"/>
  <c r="H55" i="5"/>
  <c r="H54" i="5"/>
  <c r="H57" i="5" s="1"/>
  <c r="G51" i="5"/>
  <c r="B50" i="5"/>
  <c r="B62" i="5" s="1"/>
  <c r="I25" i="5" s="1"/>
  <c r="H48" i="5"/>
  <c r="H47" i="5"/>
  <c r="H46" i="5"/>
  <c r="B46" i="5"/>
  <c r="H40" i="5" s="1"/>
  <c r="B45" i="5"/>
  <c r="H38" i="5" s="1"/>
  <c r="G44" i="5"/>
  <c r="B44" i="5"/>
  <c r="H39" i="5" s="1"/>
  <c r="B43" i="5"/>
  <c r="H37" i="5" s="1"/>
  <c r="B42" i="5"/>
  <c r="H36" i="5" s="1"/>
  <c r="B41" i="5"/>
  <c r="B40" i="5"/>
  <c r="B39" i="5"/>
  <c r="B47" i="5" s="1"/>
  <c r="I4" i="5" s="1"/>
  <c r="H35" i="5"/>
  <c r="H34" i="5"/>
  <c r="H33" i="5"/>
  <c r="E62" i="4"/>
  <c r="B62" i="4"/>
  <c r="I25" i="4" s="1"/>
  <c r="H56" i="4"/>
  <c r="H55" i="4"/>
  <c r="H54" i="4"/>
  <c r="H57" i="4" s="1"/>
  <c r="B50" i="4"/>
  <c r="H48" i="4"/>
  <c r="H47" i="4"/>
  <c r="H46" i="4"/>
  <c r="G51" i="4" s="1"/>
  <c r="B46" i="4"/>
  <c r="H40" i="4" s="1"/>
  <c r="B45" i="4"/>
  <c r="H38" i="4" s="1"/>
  <c r="G44" i="4"/>
  <c r="B44" i="4"/>
  <c r="B47" i="4" s="1"/>
  <c r="I4" i="4" s="1"/>
  <c r="B43" i="4"/>
  <c r="B42" i="4"/>
  <c r="B41" i="4"/>
  <c r="B40" i="4"/>
  <c r="B39" i="4"/>
  <c r="H33" i="4" s="1"/>
  <c r="H37" i="4"/>
  <c r="H36" i="4"/>
  <c r="H35" i="4"/>
  <c r="H34" i="4"/>
  <c r="H65" i="1"/>
  <c r="H64" i="1"/>
  <c r="H63" i="1"/>
  <c r="H66" i="1" s="1"/>
  <c r="E61" i="1"/>
  <c r="B61" i="1"/>
  <c r="I24" i="1" s="1"/>
  <c r="H60" i="1"/>
  <c r="H61" i="1" s="1"/>
  <c r="H59" i="1"/>
  <c r="H58" i="1"/>
  <c r="H55" i="1"/>
  <c r="H54" i="1"/>
  <c r="H53" i="1"/>
  <c r="H56" i="1" s="1"/>
  <c r="G50" i="1"/>
  <c r="B49" i="1"/>
  <c r="H47" i="1"/>
  <c r="H46" i="1"/>
  <c r="H45" i="1"/>
  <c r="B45" i="1"/>
  <c r="B44" i="1"/>
  <c r="H37" i="1" s="1"/>
  <c r="G43" i="1"/>
  <c r="B43" i="1"/>
  <c r="B42" i="1"/>
  <c r="H36" i="1" s="1"/>
  <c r="B41" i="1"/>
  <c r="H35" i="1" s="1"/>
  <c r="B40" i="1"/>
  <c r="H34" i="1" s="1"/>
  <c r="H39" i="1"/>
  <c r="B39" i="1"/>
  <c r="H33" i="1" s="1"/>
  <c r="H38" i="1"/>
  <c r="B38" i="1"/>
  <c r="H32" i="1" s="1"/>
  <c r="I28" i="3" l="1"/>
  <c r="H44" i="3"/>
  <c r="H43" i="2"/>
  <c r="B46" i="2"/>
  <c r="I4" i="2" s="1"/>
  <c r="I27" i="2" s="1"/>
  <c r="H44" i="10"/>
  <c r="I28" i="10"/>
  <c r="I28" i="9"/>
  <c r="H44" i="8"/>
  <c r="B47" i="8"/>
  <c r="I4" i="8" s="1"/>
  <c r="I28" i="8" s="1"/>
  <c r="I28" i="7"/>
  <c r="H44" i="7"/>
  <c r="H44" i="6"/>
  <c r="I28" i="6"/>
  <c r="I28" i="5"/>
  <c r="H44" i="5"/>
  <c r="I28" i="4"/>
  <c r="H39" i="4"/>
  <c r="H44" i="4" s="1"/>
  <c r="H43" i="1"/>
  <c r="B46" i="1"/>
  <c r="I4" i="1" s="1"/>
  <c r="I27" i="1" s="1"/>
  <c r="AD1" i="4"/>
  <c r="AD1" i="10"/>
  <c r="J49" i="5"/>
  <c r="J49" i="7"/>
  <c r="J48" i="2"/>
  <c r="J49" i="9"/>
  <c r="AD1" i="6"/>
  <c r="AD1" i="1"/>
  <c r="AD1" i="7"/>
  <c r="AD1" i="8"/>
  <c r="AD1" i="5"/>
  <c r="J49" i="8"/>
  <c r="J49" i="10"/>
  <c r="AD1" i="2"/>
  <c r="J49" i="6"/>
  <c r="J49" i="4"/>
  <c r="AD1" i="3"/>
  <c r="J48" i="1"/>
  <c r="J49" i="3"/>
  <c r="AD1" i="9"/>
</calcChain>
</file>

<file path=xl/sharedStrings.xml><?xml version="1.0" encoding="utf-8"?>
<sst xmlns="http://schemas.openxmlformats.org/spreadsheetml/2006/main" count="1328" uniqueCount="180">
  <si>
    <t>PARA BULUNAN HESAP</t>
  </si>
  <si>
    <t>BORÇLAR</t>
  </si>
  <si>
    <t>ÖNCEKİ GÜN KASA</t>
  </si>
  <si>
    <t>BİDÜNYA HIR.GARANTİ</t>
  </si>
  <si>
    <t>YCA MEH</t>
  </si>
  <si>
    <t xml:space="preserve">  </t>
  </si>
  <si>
    <t>GÖKHAN ELDEKİ</t>
  </si>
  <si>
    <t>MUHASEBE EMRAH</t>
  </si>
  <si>
    <t>DGR FİNANS</t>
  </si>
  <si>
    <t>SON KASA</t>
  </si>
  <si>
    <t>STAR HALKBANKASI</t>
  </si>
  <si>
    <t>DİŞLİOĞLU YAPIKREDİ</t>
  </si>
  <si>
    <t>KALBURCUOĞLU GARANTİ BNK</t>
  </si>
  <si>
    <t>ATEŞ QNB</t>
  </si>
  <si>
    <t xml:space="preserve"> </t>
  </si>
  <si>
    <t>Bİ DÜNYA ELEKTRİK VAKIFBANK</t>
  </si>
  <si>
    <t>HARCAMALAR</t>
  </si>
  <si>
    <t>NAKİT HARCAMA</t>
  </si>
  <si>
    <t>ALACAKLAR</t>
  </si>
  <si>
    <t>TUNCAY ABİ</t>
  </si>
  <si>
    <t>KÜRŞAD KOÇ</t>
  </si>
  <si>
    <t>RIDVAN</t>
  </si>
  <si>
    <t>DENEYİM MASCHINENBAU</t>
  </si>
  <si>
    <t>METEHAN</t>
  </si>
  <si>
    <t>SADULLAH</t>
  </si>
  <si>
    <t>KANKA UFUK</t>
  </si>
  <si>
    <t>HESAPDAN HARCAMA</t>
  </si>
  <si>
    <t>MUSTAFA AKAY</t>
  </si>
  <si>
    <t>ALİ ARI</t>
  </si>
  <si>
    <t>HASAN HÜSEYİN BULUT</t>
  </si>
  <si>
    <t>OLMASI GEREKEN</t>
  </si>
  <si>
    <t>KEZBAN KILIÇ</t>
  </si>
  <si>
    <t>FATURA</t>
  </si>
  <si>
    <t>AMBAR</t>
  </si>
  <si>
    <t>KANKA GİDER</t>
  </si>
  <si>
    <t>TAHA POS</t>
  </si>
  <si>
    <t>MESUT ERDEM</t>
  </si>
  <si>
    <t>EKSİK OLAN</t>
  </si>
  <si>
    <t>ADEM ABİ</t>
  </si>
  <si>
    <t>SİTELER 4 ELEMAN HAFTALIK</t>
  </si>
  <si>
    <t>UĞUR ÇİFTLİK</t>
  </si>
  <si>
    <t>NURAY SEYHAN</t>
  </si>
  <si>
    <t xml:space="preserve">DOĞANAY </t>
  </si>
  <si>
    <t>DAMGA VETGİSİ</t>
  </si>
  <si>
    <t>ÇİMENTO</t>
  </si>
  <si>
    <t>SEMA NUR ARIKAN</t>
  </si>
  <si>
    <t>POS CİHAZLARI</t>
  </si>
  <si>
    <t>ÇEKİLEN TUTARLAR</t>
  </si>
  <si>
    <t>POS KAR</t>
  </si>
  <si>
    <t>KASADAN ÇIKARILAN ALACAKLAR</t>
  </si>
  <si>
    <t>KIZILAY FATİH</t>
  </si>
  <si>
    <t xml:space="preserve">Bİ DÜNYA ELEKTRİK </t>
  </si>
  <si>
    <t>NEVŞEHİR SERDAR</t>
  </si>
  <si>
    <t xml:space="preserve"> Bİ DÜNYA İŞ YAPIKREDİ</t>
  </si>
  <si>
    <t>SİNAN DAŞTAN</t>
  </si>
  <si>
    <t>GÖKHAN VOLKAN</t>
  </si>
  <si>
    <t>SAKALLI</t>
  </si>
  <si>
    <t>RÜZGAR AĞIR VASITA YAPI</t>
  </si>
  <si>
    <t>CİĞERCİ</t>
  </si>
  <si>
    <t>TUNCAY ABİ ALACAK</t>
  </si>
  <si>
    <t xml:space="preserve"> ATEŞ YAPIKREDİ</t>
  </si>
  <si>
    <t>BOKSÖR HAKAN</t>
  </si>
  <si>
    <t>POS ÇEKİM HESABA GELECEK OLAN  %4</t>
  </si>
  <si>
    <t xml:space="preserve">UZMAN GRUP </t>
  </si>
  <si>
    <t>İSO</t>
  </si>
  <si>
    <t>Bİ DÜNYA ELEKTRİK SANAL</t>
  </si>
  <si>
    <t>KÖMÜROĞLU06</t>
  </si>
  <si>
    <t>FİKO</t>
  </si>
  <si>
    <t>Bİ DÜNYA İŞ MAK YAPIKREDİ</t>
  </si>
  <si>
    <t>ANKARA RÜZGAR</t>
  </si>
  <si>
    <t>TAHA</t>
  </si>
  <si>
    <t>ENGİN TUĞLU</t>
  </si>
  <si>
    <t>ENSAR YILDIZ</t>
  </si>
  <si>
    <t>ATEŞ YAPI KREDİ</t>
  </si>
  <si>
    <t>NİHAT MEYDAN</t>
  </si>
  <si>
    <t>TOPLAM</t>
  </si>
  <si>
    <t xml:space="preserve">GÖKHAN  </t>
  </si>
  <si>
    <t>LİDER GRUP NAKLİYE</t>
  </si>
  <si>
    <t>ÖZKAN POS İŞEMLERİ</t>
  </si>
  <si>
    <t>ÇEKİLEN TUTAR</t>
  </si>
  <si>
    <t>HESABA DÜŞEN PARA %4</t>
  </si>
  <si>
    <t>BARAN KANKA ARKADAŞ</t>
  </si>
  <si>
    <t>TUNAHAN ÇİFTÇİ(AYIN 9'UNDA HATIRLAT)</t>
  </si>
  <si>
    <t>TOPLAM NAKİT</t>
  </si>
  <si>
    <t>ÇİMENTO GELEN PARA</t>
  </si>
  <si>
    <t>ALINAN ÖDEMELER</t>
  </si>
  <si>
    <t>ÇİMENTO GÖNDERİLEN PARA</t>
  </si>
  <si>
    <t>KIZILAY POS KAR</t>
  </si>
  <si>
    <t>DÜNKÜ BORÇ VEYA ALACAK</t>
  </si>
  <si>
    <t>KEZBAN KILIÇ ÇEK ÖDEMESİ</t>
  </si>
  <si>
    <t>ALACAK</t>
  </si>
  <si>
    <t>CUMA</t>
  </si>
  <si>
    <t>TOPLAM GÜNSONU</t>
  </si>
  <si>
    <t>TOPLAM GÖNDERİLEN PARA</t>
  </si>
  <si>
    <t>BORÇ VEYA ALACAK(+-)</t>
  </si>
  <si>
    <t>CUMARTESİ</t>
  </si>
  <si>
    <t>TOPLAM ÖDEMLER</t>
  </si>
  <si>
    <t>,</t>
  </si>
  <si>
    <t>PAZARTESİ</t>
  </si>
  <si>
    <t>AYAZ GRUP FİNANS</t>
  </si>
  <si>
    <t>ERCAN ŞAHSİ FİNANS</t>
  </si>
  <si>
    <t>Bİ DÜNYA İŞ MAK. İŞ BANKASI</t>
  </si>
  <si>
    <t>HARMAK YAPIKREDİ</t>
  </si>
  <si>
    <t>NEW MAKSAN ŞEKERBANK</t>
  </si>
  <si>
    <t>ALTAY YAPIKREDİ</t>
  </si>
  <si>
    <t>CK ZİRAAT</t>
  </si>
  <si>
    <t>YANAR GRUP ZİRAAT</t>
  </si>
  <si>
    <t>YANAR GRUP HALK</t>
  </si>
  <si>
    <t>AYTEPE HALKBANK</t>
  </si>
  <si>
    <t>AYTEPE ZİRAAT</t>
  </si>
  <si>
    <t>Bİ DÜNYA HIR.GARANTİ</t>
  </si>
  <si>
    <t>Bİ DÜNYA HIR.ZİRAAT</t>
  </si>
  <si>
    <t>Bİ DÜNYA YAPIKREDİ</t>
  </si>
  <si>
    <t>Bİ DÜNYA HIR.İŞ BANK</t>
  </si>
  <si>
    <t>CARBİTE YAPIKREDİ</t>
  </si>
  <si>
    <t>ROYAL YAPIKREDİ</t>
  </si>
  <si>
    <t>NEHİR ZİRAAT</t>
  </si>
  <si>
    <t>GÜLERYÜZ FİNANS</t>
  </si>
  <si>
    <t>GÜLERYÜZ YAPIKREDİ</t>
  </si>
  <si>
    <t>ALAÇATI İŞ BANKASI</t>
  </si>
  <si>
    <t>SARAYLI VAKIFBANK</t>
  </si>
  <si>
    <t>TEKNİK İŞ</t>
  </si>
  <si>
    <t>GÜVEN 06 HALKBANKASI</t>
  </si>
  <si>
    <t>METAŞ</t>
  </si>
  <si>
    <t>MEHMET BAŞOĞLU(pos yarın veri)</t>
  </si>
  <si>
    <t>AKSARAY VERİLEN İNCEÖZ</t>
  </si>
  <si>
    <t>MEHMET ALİ BAĞDATLI</t>
  </si>
  <si>
    <t>ERCAN İŞLEMLER</t>
  </si>
  <si>
    <t>ARZU KORKMAZ</t>
  </si>
  <si>
    <t>UZMAN KİRA</t>
  </si>
  <si>
    <t>DGR KİRA</t>
  </si>
  <si>
    <t>YCA 61</t>
  </si>
  <si>
    <t>SALI</t>
  </si>
  <si>
    <t>MEHMET BAŞOĞLU</t>
  </si>
  <si>
    <t>YEP KİRA FARKI</t>
  </si>
  <si>
    <t>KUMTAŞ KİRA</t>
  </si>
  <si>
    <t>TANGÜN KİRA</t>
  </si>
  <si>
    <t>ÇİFTLİK GİDER</t>
  </si>
  <si>
    <t>UZMAN GRUP FİNANSBANK</t>
  </si>
  <si>
    <t>KOR KORAY SENET ÖDEMESİ</t>
  </si>
  <si>
    <t>ÇARŞAMBA</t>
  </si>
  <si>
    <t>BEST E YAPI</t>
  </si>
  <si>
    <t>RECEP ÇOPUR</t>
  </si>
  <si>
    <t>HASAN HÜSEYİN BAĞDATLI</t>
  </si>
  <si>
    <t>OSMAN HAFTALIK</t>
  </si>
  <si>
    <t>KANKA GELİR(DOLAR)</t>
  </si>
  <si>
    <t>SİNCAN BELEDİYESİ</t>
  </si>
  <si>
    <t>TAHA ÖDEME</t>
  </si>
  <si>
    <t>PERŞEMBE</t>
  </si>
  <si>
    <t xml:space="preserve">MİMSAN </t>
  </si>
  <si>
    <t>UZMAN GRUP</t>
  </si>
  <si>
    <t>SİTELER ELEMANLAR</t>
  </si>
  <si>
    <t>ENS TEKNİK</t>
  </si>
  <si>
    <t>METAŞ NAKLİYE</t>
  </si>
  <si>
    <t>OĞUZ MONTAJ</t>
  </si>
  <si>
    <t>DAMGA VERGİSİ</t>
  </si>
  <si>
    <t>KÜRŞAD YOL MASRAF</t>
  </si>
  <si>
    <t>ÇİFTLİK GİDER (CUMARTESİ ATILDI)</t>
  </si>
  <si>
    <t>ANTEP YOL PARASI</t>
  </si>
  <si>
    <t xml:space="preserve">İSO </t>
  </si>
  <si>
    <t>MİMSAN</t>
  </si>
  <si>
    <t>KÜRŞAD KOÇ CANKART</t>
  </si>
  <si>
    <t>BORÇ</t>
  </si>
  <si>
    <t>DAF QNB FİNANSBANK</t>
  </si>
  <si>
    <t>İZOTAŞ BİMS</t>
  </si>
  <si>
    <t xml:space="preserve">MRG KARGO  YAPIKREDİ </t>
  </si>
  <si>
    <t>ÇEK TAHSİL</t>
  </si>
  <si>
    <t>FERHAN AYDIN KART GİDERİ</t>
  </si>
  <si>
    <t>KIRAÇ SMART</t>
  </si>
  <si>
    <t>MİMSAN SENET ÖDEMESİ</t>
  </si>
  <si>
    <t>KÜRŞAD KOÇ ÜNİTEK ÖDEME</t>
  </si>
  <si>
    <t>DENİZBANK ÇEK TAHSİL</t>
  </si>
  <si>
    <t>MRG KARGO YAPIKREDİ ÇEK</t>
  </si>
  <si>
    <t xml:space="preserve">TAHA FATİH AKMAN ÖDEME </t>
  </si>
  <si>
    <t>FİNANSBANK ÇAKIRDAĞ PAKET</t>
  </si>
  <si>
    <t>TABELA PURSAKLAR</t>
  </si>
  <si>
    <t>YEP HALKBANKASI</t>
  </si>
  <si>
    <t>SERVET KAPLI</t>
  </si>
  <si>
    <t>SİTELER HAFTALIK+PROMOSYON</t>
  </si>
  <si>
    <t>BAYRAM AKSARAY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</si>
</sst>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&quot;₺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i/>
      <sz val="11"/>
      <color rgb="FF00B05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theme="8"/>
      <name val="Calibri"/>
      <family val="2"/>
      <charset val="162"/>
      <scheme val="minor"/>
    </font>
    <font>
      <b/>
      <sz val="11"/>
      <color theme="5" tint="-0.24997711111789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i/>
      <sz val="11"/>
      <color theme="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11">
    <xf numFmtId="0" fontId="0" fillId="0" borderId="0" xfId="0"/>
    <xf numFmtId="0" fontId="5" fillId="0" borderId="1" xfId="0" applyFont="1" applyBorder="1"/>
    <xf numFmtId="43" fontId="6" fillId="0" borderId="2" xfId="1" applyFont="1" applyFill="1" applyBorder="1"/>
    <xf numFmtId="0" fontId="6" fillId="3" borderId="3" xfId="3" applyFont="1" applyFill="1" applyBorder="1" applyAlignment="1">
      <alignment textRotation="45"/>
    </xf>
    <xf numFmtId="0" fontId="6" fillId="0" borderId="4" xfId="0" applyFont="1" applyBorder="1"/>
    <xf numFmtId="43" fontId="4" fillId="0" borderId="5" xfId="1" applyFont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4" fillId="0" borderId="0" xfId="1" applyFont="1" applyAlignment="1"/>
    <xf numFmtId="43" fontId="4" fillId="0" borderId="7" xfId="1" applyFont="1" applyBorder="1" applyAlignment="1">
      <alignment horizontal="center"/>
    </xf>
    <xf numFmtId="43" fontId="4" fillId="0" borderId="0" xfId="1" applyFont="1"/>
    <xf numFmtId="0" fontId="4" fillId="0" borderId="0" xfId="0" applyFont="1"/>
    <xf numFmtId="43" fontId="6" fillId="0" borderId="8" xfId="1" applyFont="1" applyBorder="1"/>
    <xf numFmtId="43" fontId="6" fillId="0" borderId="9" xfId="1" applyFont="1" applyBorder="1"/>
    <xf numFmtId="0" fontId="6" fillId="3" borderId="10" xfId="3" applyFont="1" applyFill="1" applyBorder="1" applyAlignment="1">
      <alignment textRotation="45"/>
    </xf>
    <xf numFmtId="43" fontId="6" fillId="0" borderId="11" xfId="1" applyFont="1" applyBorder="1"/>
    <xf numFmtId="43" fontId="4" fillId="0" borderId="12" xfId="1" applyFont="1" applyBorder="1" applyAlignment="1">
      <alignment horizontal="center" vertical="center"/>
    </xf>
    <xf numFmtId="43" fontId="4" fillId="0" borderId="13" xfId="1" applyFont="1" applyBorder="1" applyAlignment="1">
      <alignment horizontal="center" vertical="center"/>
    </xf>
    <xf numFmtId="43" fontId="4" fillId="0" borderId="14" xfId="1" applyFont="1" applyBorder="1" applyAlignment="1">
      <alignment horizontal="center" vertical="center"/>
    </xf>
    <xf numFmtId="43" fontId="6" fillId="0" borderId="9" xfId="1" applyFont="1" applyBorder="1" applyProtection="1">
      <protection locked="0" hidden="1"/>
    </xf>
    <xf numFmtId="43" fontId="7" fillId="0" borderId="8" xfId="1" applyFont="1" applyBorder="1"/>
    <xf numFmtId="43" fontId="7" fillId="0" borderId="11" xfId="1" applyFont="1" applyBorder="1"/>
    <xf numFmtId="43" fontId="4" fillId="0" borderId="0" xfId="1" applyFont="1" applyBorder="1" applyAlignment="1">
      <alignment horizontal="center" vertical="center"/>
    </xf>
    <xf numFmtId="43" fontId="4" fillId="0" borderId="15" xfId="1" applyFont="1" applyBorder="1" applyAlignment="1">
      <alignment horizontal="center" vertical="center"/>
    </xf>
    <xf numFmtId="43" fontId="4" fillId="0" borderId="16" xfId="1" applyFont="1" applyBorder="1" applyAlignment="1">
      <alignment horizontal="center" vertical="center"/>
    </xf>
    <xf numFmtId="43" fontId="4" fillId="0" borderId="8" xfId="1" applyFont="1" applyBorder="1"/>
    <xf numFmtId="43" fontId="4" fillId="0" borderId="9" xfId="1" applyFont="1" applyBorder="1"/>
    <xf numFmtId="0" fontId="4" fillId="0" borderId="8" xfId="0" applyFont="1" applyBorder="1"/>
    <xf numFmtId="43" fontId="6" fillId="0" borderId="17" xfId="1" applyFont="1" applyBorder="1"/>
    <xf numFmtId="43" fontId="6" fillId="0" borderId="18" xfId="1" applyFont="1" applyBorder="1"/>
    <xf numFmtId="43" fontId="4" fillId="0" borderId="0" xfId="1" applyFont="1" applyBorder="1" applyAlignment="1"/>
    <xf numFmtId="0" fontId="6" fillId="3" borderId="19" xfId="3" applyFont="1" applyFill="1" applyBorder="1" applyAlignment="1">
      <alignment textRotation="45"/>
    </xf>
    <xf numFmtId="43" fontId="5" fillId="0" borderId="1" xfId="1" applyFont="1" applyBorder="1"/>
    <xf numFmtId="43" fontId="6" fillId="0" borderId="4" xfId="1" applyFont="1" applyBorder="1"/>
    <xf numFmtId="43" fontId="3" fillId="0" borderId="0" xfId="1" applyFont="1"/>
    <xf numFmtId="43" fontId="4" fillId="0" borderId="8" xfId="1" applyFont="1" applyBorder="1" applyAlignment="1"/>
    <xf numFmtId="43" fontId="4" fillId="0" borderId="11" xfId="1" applyFont="1" applyBorder="1" applyAlignment="1"/>
    <xf numFmtId="43" fontId="3" fillId="0" borderId="9" xfId="1" applyFont="1" applyBorder="1"/>
    <xf numFmtId="43" fontId="4" fillId="0" borderId="0" xfId="0" applyNumberFormat="1" applyFont="1"/>
    <xf numFmtId="43" fontId="3" fillId="3" borderId="9" xfId="1" applyFont="1" applyFill="1" applyBorder="1"/>
    <xf numFmtId="43" fontId="5" fillId="0" borderId="8" xfId="1" applyFont="1" applyBorder="1"/>
    <xf numFmtId="43" fontId="6" fillId="3" borderId="9" xfId="1" applyFont="1" applyFill="1" applyBorder="1"/>
    <xf numFmtId="43" fontId="6" fillId="0" borderId="20" xfId="1" applyFont="1" applyBorder="1"/>
    <xf numFmtId="0" fontId="6" fillId="3" borderId="21" xfId="3" applyFont="1" applyFill="1" applyBorder="1" applyAlignment="1">
      <alignment textRotation="45"/>
    </xf>
    <xf numFmtId="43" fontId="4" fillId="0" borderId="20" xfId="1" applyFont="1" applyBorder="1"/>
    <xf numFmtId="0" fontId="3" fillId="0" borderId="0" xfId="0" applyFont="1"/>
    <xf numFmtId="43" fontId="4" fillId="0" borderId="22" xfId="1" applyFont="1" applyBorder="1" applyAlignment="1">
      <alignment horizontal="center" vertical="center"/>
    </xf>
    <xf numFmtId="43" fontId="4" fillId="0" borderId="23" xfId="1" applyFont="1" applyBorder="1" applyAlignment="1">
      <alignment horizontal="center" vertical="center"/>
    </xf>
    <xf numFmtId="43" fontId="4" fillId="0" borderId="24" xfId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0" fontId="4" fillId="0" borderId="20" xfId="0" applyFont="1" applyBorder="1"/>
    <xf numFmtId="43" fontId="3" fillId="0" borderId="11" xfId="1" applyFont="1" applyBorder="1" applyAlignment="1"/>
    <xf numFmtId="43" fontId="8" fillId="0" borderId="0" xfId="1" applyFont="1" applyBorder="1"/>
    <xf numFmtId="0" fontId="5" fillId="0" borderId="25" xfId="0" applyFont="1" applyBorder="1"/>
    <xf numFmtId="43" fontId="6" fillId="0" borderId="26" xfId="1" applyFont="1" applyBorder="1"/>
    <xf numFmtId="0" fontId="6" fillId="0" borderId="8" xfId="0" applyFont="1" applyBorder="1"/>
    <xf numFmtId="43" fontId="4" fillId="0" borderId="5" xfId="1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4" fillId="0" borderId="0" xfId="1" applyFont="1" applyAlignment="1">
      <alignment vertical="center"/>
    </xf>
    <xf numFmtId="43" fontId="4" fillId="0" borderId="7" xfId="1" applyFont="1" applyBorder="1" applyAlignment="1">
      <alignment horizontal="center" vertical="center"/>
    </xf>
    <xf numFmtId="43" fontId="4" fillId="0" borderId="11" xfId="1" applyFont="1" applyFill="1" applyBorder="1" applyAlignment="1"/>
    <xf numFmtId="43" fontId="1" fillId="0" borderId="0" xfId="1" applyFont="1" applyBorder="1" applyAlignment="1"/>
    <xf numFmtId="43" fontId="4" fillId="0" borderId="11" xfId="1" applyFont="1" applyBorder="1"/>
    <xf numFmtId="0" fontId="4" fillId="0" borderId="16" xfId="0" applyFont="1" applyBorder="1"/>
    <xf numFmtId="43" fontId="4" fillId="0" borderId="15" xfId="1" applyFont="1" applyBorder="1"/>
    <xf numFmtId="2" fontId="4" fillId="0" borderId="5" xfId="1" applyNumberFormat="1" applyFont="1" applyBorder="1" applyAlignment="1">
      <alignment horizontal="center"/>
    </xf>
    <xf numFmtId="2" fontId="4" fillId="0" borderId="6" xfId="1" applyNumberFormat="1" applyFont="1" applyBorder="1" applyAlignment="1">
      <alignment horizontal="center"/>
    </xf>
    <xf numFmtId="2" fontId="4" fillId="0" borderId="0" xfId="1" applyNumberFormat="1" applyFont="1"/>
    <xf numFmtId="2" fontId="4" fillId="0" borderId="0" xfId="1" applyNumberFormat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9" fillId="0" borderId="20" xfId="0" applyFont="1" applyBorder="1"/>
    <xf numFmtId="43" fontId="9" fillId="0" borderId="20" xfId="1" applyFont="1" applyBorder="1"/>
    <xf numFmtId="43" fontId="4" fillId="0" borderId="27" xfId="1" applyFont="1" applyBorder="1" applyAlignment="1">
      <alignment horizontal="center" vertical="center"/>
    </xf>
    <xf numFmtId="43" fontId="4" fillId="0" borderId="28" xfId="1" applyFont="1" applyBorder="1"/>
    <xf numFmtId="2" fontId="4" fillId="0" borderId="4" xfId="1" applyNumberFormat="1" applyFont="1" applyBorder="1"/>
    <xf numFmtId="0" fontId="6" fillId="0" borderId="29" xfId="0" applyFont="1" applyBorder="1"/>
    <xf numFmtId="0" fontId="6" fillId="0" borderId="30" xfId="0" applyFont="1" applyBorder="1"/>
    <xf numFmtId="0" fontId="4" fillId="0" borderId="31" xfId="0" applyFont="1" applyBorder="1"/>
    <xf numFmtId="43" fontId="4" fillId="0" borderId="32" xfId="1" applyFont="1" applyBorder="1"/>
    <xf numFmtId="43" fontId="4" fillId="0" borderId="33" xfId="1" applyFont="1" applyBorder="1" applyAlignment="1"/>
    <xf numFmtId="0" fontId="6" fillId="0" borderId="12" xfId="0" applyFont="1" applyBorder="1"/>
    <xf numFmtId="0" fontId="6" fillId="0" borderId="13" xfId="0" applyFont="1" applyBorder="1"/>
    <xf numFmtId="0" fontId="4" fillId="0" borderId="33" xfId="0" applyFont="1" applyBorder="1"/>
    <xf numFmtId="0" fontId="6" fillId="0" borderId="0" xfId="0" applyFont="1"/>
    <xf numFmtId="44" fontId="6" fillId="0" borderId="15" xfId="1" applyNumberFormat="1" applyFont="1" applyFill="1" applyBorder="1"/>
    <xf numFmtId="0" fontId="10" fillId="0" borderId="8" xfId="0" applyFont="1" applyBorder="1"/>
    <xf numFmtId="43" fontId="11" fillId="0" borderId="20" xfId="1" applyFont="1" applyBorder="1"/>
    <xf numFmtId="43" fontId="3" fillId="0" borderId="11" xfId="1" applyFont="1" applyBorder="1"/>
    <xf numFmtId="43" fontId="8" fillId="0" borderId="0" xfId="0" applyNumberFormat="1" applyFont="1"/>
    <xf numFmtId="44" fontId="6" fillId="0" borderId="15" xfId="1" applyNumberFormat="1" applyFont="1" applyBorder="1"/>
    <xf numFmtId="43" fontId="8" fillId="0" borderId="0" xfId="1" applyFont="1"/>
    <xf numFmtId="43" fontId="4" fillId="0" borderId="11" xfId="0" applyNumberFormat="1" applyFont="1" applyBorder="1"/>
    <xf numFmtId="0" fontId="4" fillId="0" borderId="11" xfId="0" applyFont="1" applyBorder="1"/>
    <xf numFmtId="44" fontId="6" fillId="0" borderId="15" xfId="1" applyNumberFormat="1" applyFont="1" applyBorder="1" applyProtection="1">
      <protection locked="0" hidden="1"/>
    </xf>
    <xf numFmtId="43" fontId="11" fillId="0" borderId="9" xfId="1" applyFont="1" applyBorder="1"/>
    <xf numFmtId="43" fontId="8" fillId="0" borderId="33" xfId="1" applyFont="1" applyBorder="1" applyAlignment="1">
      <alignment horizontal="center" vertical="center"/>
    </xf>
    <xf numFmtId="43" fontId="8" fillId="0" borderId="20" xfId="1" applyFont="1" applyBorder="1"/>
    <xf numFmtId="43" fontId="8" fillId="0" borderId="11" xfId="1" applyFont="1" applyBorder="1"/>
    <xf numFmtId="44" fontId="4" fillId="0" borderId="15" xfId="1" applyNumberFormat="1" applyFont="1" applyBorder="1"/>
    <xf numFmtId="43" fontId="12" fillId="4" borderId="33" xfId="1" applyFont="1" applyFill="1" applyBorder="1"/>
    <xf numFmtId="43" fontId="12" fillId="4" borderId="20" xfId="1" applyFont="1" applyFill="1" applyBorder="1" applyAlignment="1"/>
    <xf numFmtId="0" fontId="12" fillId="4" borderId="11" xfId="0" applyFont="1" applyFill="1" applyBorder="1"/>
    <xf numFmtId="43" fontId="9" fillId="4" borderId="33" xfId="1" applyFont="1" applyFill="1" applyBorder="1"/>
    <xf numFmtId="43" fontId="9" fillId="4" borderId="20" xfId="1" applyFont="1" applyFill="1" applyBorder="1"/>
    <xf numFmtId="43" fontId="9" fillId="4" borderId="11" xfId="1" applyFont="1" applyFill="1" applyBorder="1" applyAlignment="1"/>
    <xf numFmtId="43" fontId="4" fillId="0" borderId="0" xfId="1" applyFont="1" applyBorder="1"/>
    <xf numFmtId="0" fontId="5" fillId="0" borderId="8" xfId="0" applyFont="1" applyBorder="1"/>
    <xf numFmtId="43" fontId="5" fillId="0" borderId="9" xfId="0" applyNumberFormat="1" applyFont="1" applyBorder="1"/>
    <xf numFmtId="43" fontId="4" fillId="4" borderId="20" xfId="1" applyFont="1" applyFill="1" applyBorder="1"/>
    <xf numFmtId="43" fontId="4" fillId="4" borderId="11" xfId="1" applyFont="1" applyFill="1" applyBorder="1"/>
    <xf numFmtId="43" fontId="13" fillId="4" borderId="33" xfId="1" applyFont="1" applyFill="1" applyBorder="1"/>
    <xf numFmtId="3" fontId="4" fillId="0" borderId="0" xfId="0" applyNumberFormat="1" applyFont="1"/>
    <xf numFmtId="44" fontId="4" fillId="0" borderId="0" xfId="0" applyNumberFormat="1" applyFont="1"/>
    <xf numFmtId="0" fontId="7" fillId="0" borderId="8" xfId="0" applyFont="1" applyBorder="1" applyAlignment="1">
      <alignment horizontal="left"/>
    </xf>
    <xf numFmtId="43" fontId="7" fillId="0" borderId="9" xfId="1" applyFont="1" applyBorder="1"/>
    <xf numFmtId="2" fontId="4" fillId="0" borderId="0" xfId="1" applyNumberFormat="1" applyFont="1" applyBorder="1"/>
    <xf numFmtId="0" fontId="6" fillId="0" borderId="0" xfId="0" applyFont="1" applyAlignment="1">
      <alignment horizontal="center"/>
    </xf>
    <xf numFmtId="0" fontId="14" fillId="4" borderId="34" xfId="0" applyFont="1" applyFill="1" applyBorder="1" applyAlignment="1">
      <alignment horizontal="center" vertical="center"/>
    </xf>
    <xf numFmtId="164" fontId="15" fillId="4" borderId="34" xfId="1" applyNumberFormat="1" applyFont="1" applyFill="1" applyBorder="1" applyAlignment="1">
      <alignment horizontal="center" vertical="center"/>
    </xf>
    <xf numFmtId="164" fontId="15" fillId="4" borderId="35" xfId="1" applyNumberFormat="1" applyFont="1" applyFill="1" applyBorder="1" applyAlignment="1">
      <alignment horizontal="center" vertical="center"/>
    </xf>
    <xf numFmtId="43" fontId="6" fillId="0" borderId="0" xfId="1" applyFont="1" applyFill="1" applyBorder="1"/>
    <xf numFmtId="43" fontId="6" fillId="0" borderId="11" xfId="1" applyFont="1" applyFill="1" applyBorder="1"/>
    <xf numFmtId="0" fontId="14" fillId="4" borderId="0" xfId="0" applyFont="1" applyFill="1" applyAlignment="1">
      <alignment horizontal="center" vertical="center"/>
    </xf>
    <xf numFmtId="164" fontId="15" fillId="4" borderId="0" xfId="1" applyNumberFormat="1" applyFont="1" applyFill="1" applyBorder="1" applyAlignment="1">
      <alignment horizontal="center" vertical="center"/>
    </xf>
    <xf numFmtId="164" fontId="15" fillId="4" borderId="15" xfId="1" applyNumberFormat="1" applyFont="1" applyFill="1" applyBorder="1" applyAlignment="1">
      <alignment horizontal="center" vertical="center"/>
    </xf>
    <xf numFmtId="43" fontId="6" fillId="0" borderId="9" xfId="1" applyFont="1" applyFill="1" applyBorder="1"/>
    <xf numFmtId="43" fontId="8" fillId="0" borderId="1" xfId="1" applyFont="1" applyBorder="1" applyAlignment="1">
      <alignment horizontal="center"/>
    </xf>
    <xf numFmtId="43" fontId="8" fillId="0" borderId="28" xfId="1" applyFont="1" applyBorder="1" applyAlignment="1">
      <alignment horizontal="center"/>
    </xf>
    <xf numFmtId="43" fontId="8" fillId="0" borderId="4" xfId="1" applyFont="1" applyBorder="1" applyAlignment="1">
      <alignment horizontal="center"/>
    </xf>
    <xf numFmtId="43" fontId="6" fillId="0" borderId="0" xfId="1" applyFont="1" applyBorder="1"/>
    <xf numFmtId="44" fontId="8" fillId="0" borderId="0" xfId="0" applyNumberFormat="1" applyFont="1"/>
    <xf numFmtId="43" fontId="8" fillId="0" borderId="8" xfId="1" applyFont="1" applyBorder="1" applyAlignment="1">
      <alignment horizontal="center"/>
    </xf>
    <xf numFmtId="43" fontId="8" fillId="0" borderId="20" xfId="1" applyFont="1" applyBorder="1" applyAlignment="1">
      <alignment horizontal="center"/>
    </xf>
    <xf numFmtId="43" fontId="8" fillId="0" borderId="11" xfId="1" applyFont="1" applyBorder="1" applyAlignment="1">
      <alignment horizontal="center"/>
    </xf>
    <xf numFmtId="43" fontId="8" fillId="0" borderId="0" xfId="1" applyFont="1" applyBorder="1" applyAlignment="1">
      <alignment horizontal="center"/>
    </xf>
    <xf numFmtId="43" fontId="6" fillId="0" borderId="36" xfId="1" applyFont="1" applyBorder="1"/>
    <xf numFmtId="0" fontId="4" fillId="0" borderId="37" xfId="0" applyFont="1" applyBorder="1"/>
    <xf numFmtId="43" fontId="6" fillId="0" borderId="38" xfId="1" applyFont="1" applyBorder="1"/>
    <xf numFmtId="43" fontId="16" fillId="0" borderId="0" xfId="1" applyFont="1" applyBorder="1" applyProtection="1">
      <protection locked="0" hidden="1"/>
    </xf>
    <xf numFmtId="0" fontId="6" fillId="0" borderId="39" xfId="0" applyFont="1" applyBorder="1"/>
    <xf numFmtId="43" fontId="6" fillId="0" borderId="40" xfId="0" applyNumberFormat="1" applyFont="1" applyBorder="1"/>
    <xf numFmtId="0" fontId="6" fillId="3" borderId="24" xfId="3" applyFont="1" applyFill="1" applyBorder="1" applyAlignment="1">
      <alignment textRotation="45"/>
    </xf>
    <xf numFmtId="0" fontId="5" fillId="0" borderId="39" xfId="0" applyFont="1" applyBorder="1"/>
    <xf numFmtId="43" fontId="5" fillId="0" borderId="40" xfId="1" applyFont="1" applyBorder="1"/>
    <xf numFmtId="0" fontId="5" fillId="0" borderId="0" xfId="0" applyFont="1"/>
    <xf numFmtId="43" fontId="5" fillId="0" borderId="0" xfId="1" applyFont="1" applyBorder="1"/>
    <xf numFmtId="0" fontId="6" fillId="3" borderId="0" xfId="3" applyFont="1" applyFill="1" applyBorder="1" applyAlignment="1">
      <alignment textRotation="45"/>
    </xf>
    <xf numFmtId="0" fontId="4" fillId="0" borderId="0" xfId="0" applyFont="1" applyAlignment="1">
      <alignment horizontal="center"/>
    </xf>
    <xf numFmtId="43" fontId="4" fillId="0" borderId="37" xfId="1" applyFont="1" applyBorder="1"/>
    <xf numFmtId="43" fontId="4" fillId="0" borderId="41" xfId="1" applyFont="1" applyBorder="1"/>
    <xf numFmtId="43" fontId="4" fillId="0" borderId="42" xfId="1" applyFont="1" applyBorder="1"/>
    <xf numFmtId="43" fontId="8" fillId="0" borderId="0" xfId="1" applyFont="1" applyBorder="1" applyAlignment="1">
      <alignment horizontal="center"/>
    </xf>
    <xf numFmtId="0" fontId="4" fillId="3" borderId="0" xfId="3" applyFont="1" applyFill="1" applyBorder="1" applyAlignment="1">
      <alignment textRotation="45"/>
    </xf>
    <xf numFmtId="43" fontId="8" fillId="0" borderId="43" xfId="1" applyFont="1" applyBorder="1"/>
    <xf numFmtId="43" fontId="4" fillId="0" borderId="44" xfId="1" applyFont="1" applyBorder="1"/>
    <xf numFmtId="43" fontId="4" fillId="0" borderId="0" xfId="1" applyFont="1" applyBorder="1" applyAlignment="1">
      <alignment vertical="center"/>
    </xf>
    <xf numFmtId="0" fontId="4" fillId="0" borderId="0" xfId="2" applyNumberFormat="1" applyFont="1"/>
    <xf numFmtId="43" fontId="9" fillId="0" borderId="0" xfId="1" applyFont="1" applyBorder="1" applyAlignment="1">
      <alignment vertical="center"/>
    </xf>
    <xf numFmtId="0" fontId="4" fillId="3" borderId="0" xfId="3" applyFont="1" applyFill="1" applyBorder="1"/>
    <xf numFmtId="43" fontId="9" fillId="0" borderId="0" xfId="1" applyFont="1" applyBorder="1"/>
    <xf numFmtId="43" fontId="6" fillId="0" borderId="0" xfId="1" applyFont="1"/>
    <xf numFmtId="43" fontId="17" fillId="0" borderId="0" xfId="1" applyFont="1" applyAlignment="1"/>
    <xf numFmtId="43" fontId="4" fillId="0" borderId="0" xfId="1" applyFont="1" applyFill="1" applyBorder="1" applyAlignment="1"/>
    <xf numFmtId="43" fontId="4" fillId="0" borderId="0" xfId="1" applyFont="1" applyFill="1" applyBorder="1" applyAlignment="1">
      <alignment vertical="center"/>
    </xf>
    <xf numFmtId="43" fontId="0" fillId="0" borderId="0" xfId="1" applyFont="1" applyFill="1" applyBorder="1" applyAlignment="1"/>
    <xf numFmtId="43" fontId="6" fillId="0" borderId="0" xfId="1" applyFont="1" applyAlignment="1"/>
    <xf numFmtId="0" fontId="0" fillId="0" borderId="0" xfId="0" applyAlignment="1"/>
    <xf numFmtId="43" fontId="0" fillId="0" borderId="0" xfId="0" applyNumberFormat="1" applyAlignment="1"/>
    <xf numFmtId="0" fontId="4" fillId="3" borderId="0" xfId="0" applyFont="1" applyFill="1"/>
    <xf numFmtId="0" fontId="8" fillId="0" borderId="0" xfId="0" applyFont="1"/>
    <xf numFmtId="43" fontId="8" fillId="0" borderId="27" xfId="1" applyFont="1" applyBorder="1" applyAlignment="1">
      <alignment horizontal="center"/>
    </xf>
    <xf numFmtId="43" fontId="4" fillId="0" borderId="33" xfId="1" applyFont="1" applyBorder="1"/>
    <xf numFmtId="43" fontId="4" fillId="0" borderId="45" xfId="1" applyFont="1" applyBorder="1"/>
    <xf numFmtId="43" fontId="8" fillId="0" borderId="41" xfId="1" applyFont="1" applyBorder="1"/>
    <xf numFmtId="43" fontId="6" fillId="0" borderId="42" xfId="1" applyFont="1" applyBorder="1"/>
    <xf numFmtId="43" fontId="5" fillId="0" borderId="46" xfId="1" applyFont="1" applyBorder="1"/>
    <xf numFmtId="43" fontId="8" fillId="0" borderId="0" xfId="1" applyFont="1" applyBorder="1" applyAlignment="1"/>
    <xf numFmtId="43" fontId="6" fillId="0" borderId="4" xfId="1" applyFont="1" applyFill="1" applyBorder="1"/>
    <xf numFmtId="0" fontId="6" fillId="3" borderId="47" xfId="3" applyFont="1" applyFill="1" applyBorder="1" applyAlignment="1">
      <alignment textRotation="45"/>
    </xf>
    <xf numFmtId="0" fontId="6" fillId="3" borderId="48" xfId="3" applyFont="1" applyFill="1" applyBorder="1" applyAlignment="1">
      <alignment textRotation="45"/>
    </xf>
    <xf numFmtId="43" fontId="6" fillId="0" borderId="11" xfId="1" applyFont="1" applyBorder="1" applyProtection="1">
      <protection locked="0" hidden="1"/>
    </xf>
    <xf numFmtId="43" fontId="3" fillId="0" borderId="15" xfId="1" applyFont="1" applyBorder="1"/>
    <xf numFmtId="43" fontId="3" fillId="3" borderId="11" xfId="1" applyFont="1" applyFill="1" applyBorder="1"/>
    <xf numFmtId="43" fontId="6" fillId="3" borderId="11" xfId="1" applyFont="1" applyFill="1" applyBorder="1"/>
    <xf numFmtId="0" fontId="9" fillId="0" borderId="8" xfId="0" applyFont="1" applyBorder="1"/>
    <xf numFmtId="43" fontId="9" fillId="0" borderId="11" xfId="1" applyFont="1" applyBorder="1"/>
    <xf numFmtId="43" fontId="11" fillId="0" borderId="11" xfId="1" applyFont="1" applyBorder="1"/>
    <xf numFmtId="43" fontId="5" fillId="0" borderId="11" xfId="0" applyNumberFormat="1" applyFont="1" applyBorder="1"/>
    <xf numFmtId="43" fontId="6" fillId="0" borderId="46" xfId="0" applyNumberFormat="1" applyFont="1" applyBorder="1"/>
    <xf numFmtId="0" fontId="6" fillId="3" borderId="22" xfId="3" applyFont="1" applyFill="1" applyBorder="1" applyAlignment="1">
      <alignment textRotation="45"/>
    </xf>
    <xf numFmtId="0" fontId="6" fillId="0" borderId="1" xfId="0" applyFont="1" applyBorder="1"/>
    <xf numFmtId="43" fontId="6" fillId="0" borderId="1" xfId="1" applyFont="1" applyBorder="1"/>
    <xf numFmtId="43" fontId="4" fillId="3" borderId="11" xfId="1" applyFont="1" applyFill="1" applyBorder="1"/>
    <xf numFmtId="0" fontId="6" fillId="0" borderId="25" xfId="0" applyFont="1" applyBorder="1"/>
    <xf numFmtId="43" fontId="4" fillId="0" borderId="33" xfId="1" applyFont="1" applyBorder="1" applyAlignment="1">
      <alignment horizontal="center" vertical="center"/>
    </xf>
    <xf numFmtId="43" fontId="4" fillId="4" borderId="33" xfId="1" applyFont="1" applyFill="1" applyBorder="1"/>
    <xf numFmtId="43" fontId="4" fillId="4" borderId="20" xfId="1" applyFont="1" applyFill="1" applyBorder="1" applyAlignment="1"/>
    <xf numFmtId="0" fontId="4" fillId="4" borderId="11" xfId="0" applyFont="1" applyFill="1" applyBorder="1"/>
    <xf numFmtId="43" fontId="4" fillId="4" borderId="11" xfId="1" applyFont="1" applyFill="1" applyBorder="1" applyAlignment="1"/>
    <xf numFmtId="43" fontId="6" fillId="0" borderId="11" xfId="0" applyNumberFormat="1" applyFont="1" applyBorder="1"/>
    <xf numFmtId="0" fontId="6" fillId="0" borderId="8" xfId="0" applyFont="1" applyBorder="1" applyAlignment="1">
      <alignment horizontal="left"/>
    </xf>
    <xf numFmtId="43" fontId="4" fillId="0" borderId="27" xfId="1" applyFont="1" applyBorder="1" applyAlignment="1">
      <alignment horizontal="center"/>
    </xf>
    <xf numFmtId="43" fontId="4" fillId="0" borderId="28" xfId="1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6" fillId="0" borderId="0" xfId="1" applyFont="1" applyBorder="1" applyProtection="1">
      <protection locked="0" hidden="1"/>
    </xf>
    <xf numFmtId="43" fontId="6" fillId="0" borderId="46" xfId="1" applyFont="1" applyBorder="1"/>
    <xf numFmtId="43" fontId="1" fillId="0" borderId="0" xfId="1" applyFont="1" applyFill="1" applyBorder="1" applyAlignment="1"/>
    <xf numFmtId="0" fontId="1" fillId="0" borderId="0" xfId="0" applyFont="1" applyAlignment="1"/>
    <xf numFmtId="43" fontId="1" fillId="0" borderId="0" xfId="0" applyNumberFormat="1" applyFont="1" applyAlignment="1"/>
    <xf numFmtId="14" fontId="8" fillId="0" borderId="0" xfId="1" applyNumberFormat="1" applyFont="1" applyBorder="1" applyAlignment="1">
      <alignment horizontal="center" vertical="center"/>
    </xf>
    <xf numFmtId="43" fontId="8" fillId="0" borderId="0" xfId="1" applyFont="1" applyBorder="1" applyAlignment="1">
      <alignment horizontal="center" vertical="center"/>
    </xf>
  </cellXfs>
  <cellStyles count="4">
    <cellStyle name="%20 - Vurgu1" xfId="3" builtinId="30"/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6"/>
  <sheetViews>
    <sheetView workbookViewId="0">
      <selection sqref="A1:XFD1048576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2"/>
      <c r="C1" s="3"/>
      <c r="D1" s="1" t="s">
        <v>1</v>
      </c>
      <c r="E1" s="4"/>
      <c r="F1" s="5" t="s">
        <v>2</v>
      </c>
      <c r="G1" s="6"/>
      <c r="H1" s="7"/>
      <c r="I1" s="8">
        <v>28387220.780000001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2"/>
      <c r="C2" s="13"/>
      <c r="D2" s="11" t="s">
        <v>4</v>
      </c>
      <c r="E2" s="14">
        <v>457000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2">
        <v>41935</v>
      </c>
      <c r="C3" s="13"/>
      <c r="D3" s="11" t="s">
        <v>7</v>
      </c>
      <c r="E3" s="14">
        <v>2500000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2">
        <v>1790950</v>
      </c>
      <c r="C4" s="13"/>
      <c r="D4" s="11"/>
      <c r="E4" s="14"/>
      <c r="F4" s="15" t="s">
        <v>9</v>
      </c>
      <c r="G4" s="15"/>
      <c r="H4" s="16"/>
      <c r="I4" s="17">
        <f>B46-E2-E4-E5-E6-E7-E8-E9-E10-E3-E96</f>
        <v>28981759.886000004</v>
      </c>
      <c r="J4" s="15"/>
      <c r="K4" s="16"/>
      <c r="L4" s="9"/>
    </row>
    <row r="5" spans="1:30" x14ac:dyDescent="0.3">
      <c r="A5" s="11" t="s">
        <v>10</v>
      </c>
      <c r="B5" s="18">
        <v>7600</v>
      </c>
      <c r="C5" s="13"/>
      <c r="D5" s="19"/>
      <c r="E5" s="20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25">
        <v>460000</v>
      </c>
      <c r="C6" s="13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25">
        <v>8400</v>
      </c>
      <c r="C7" s="13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25">
        <v>169000</v>
      </c>
      <c r="C8" s="13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25">
        <v>2000</v>
      </c>
      <c r="C9" s="13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25"/>
      <c r="C10" s="30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25"/>
      <c r="C11" s="30"/>
      <c r="D11" s="11" t="s">
        <v>17</v>
      </c>
      <c r="E11" s="14">
        <v>932250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B12" s="33"/>
      <c r="C12" s="30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36"/>
      <c r="C13" s="30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38"/>
      <c r="C14" s="30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40"/>
      <c r="C15" s="30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41" t="s">
        <v>19</v>
      </c>
      <c r="B16" s="41">
        <v>10400000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43" t="s">
        <v>20</v>
      </c>
      <c r="B17" s="43">
        <v>4981000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43" t="s">
        <v>21</v>
      </c>
      <c r="B18" s="43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>
        <v>1387550</v>
      </c>
      <c r="N18" s="9"/>
      <c r="V18" s="29"/>
      <c r="AC18" s="29"/>
    </row>
    <row r="19" spans="1:29" x14ac:dyDescent="0.3">
      <c r="A19" s="43" t="s">
        <v>22</v>
      </c>
      <c r="B19" s="43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>
        <v>403400</v>
      </c>
      <c r="N19" s="9"/>
      <c r="V19" s="29"/>
      <c r="AC19" s="29"/>
    </row>
    <row r="20" spans="1:29" x14ac:dyDescent="0.3">
      <c r="A20" s="49" t="s">
        <v>23</v>
      </c>
      <c r="B20" s="43">
        <v>218640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49" t="s">
        <v>24</v>
      </c>
      <c r="B21" s="43">
        <v>80000</v>
      </c>
      <c r="C21" s="42"/>
      <c r="D21" s="26"/>
      <c r="E21" s="50"/>
      <c r="F21" s="51"/>
      <c r="G21" s="51"/>
      <c r="H21" s="51"/>
      <c r="I21" s="9"/>
      <c r="J21" s="9"/>
      <c r="K21" s="9"/>
      <c r="L21" s="9"/>
      <c r="M21" s="9"/>
      <c r="N21" s="9"/>
      <c r="V21" s="29"/>
    </row>
    <row r="22" spans="1:29" x14ac:dyDescent="0.3">
      <c r="A22" s="49" t="s">
        <v>25</v>
      </c>
      <c r="B22" s="43">
        <v>75000</v>
      </c>
      <c r="C22" s="42"/>
      <c r="D22" s="52" t="s">
        <v>26</v>
      </c>
      <c r="E22" s="53"/>
      <c r="F22" s="9"/>
      <c r="G22" s="33"/>
      <c r="H22" s="9"/>
      <c r="I22" s="9"/>
      <c r="J22" s="9"/>
      <c r="K22" s="9"/>
      <c r="L22" s="9"/>
      <c r="M22" s="9"/>
      <c r="N22" s="9"/>
      <c r="O22" s="9"/>
      <c r="V22" s="29"/>
    </row>
    <row r="23" spans="1:29" ht="15" thickBot="1" x14ac:dyDescent="0.35">
      <c r="A23" s="43" t="s">
        <v>27</v>
      </c>
      <c r="B23" s="43">
        <v>20000</v>
      </c>
      <c r="C23" s="42"/>
      <c r="D23" s="54" t="s">
        <v>26</v>
      </c>
      <c r="E23" s="14"/>
      <c r="F23" s="9"/>
      <c r="G23" s="9"/>
      <c r="H23" s="9"/>
      <c r="I23" s="9"/>
      <c r="J23" s="9"/>
      <c r="K23" s="9"/>
      <c r="L23" s="37"/>
      <c r="M23" s="9"/>
      <c r="N23" s="9"/>
      <c r="O23" s="9"/>
      <c r="V23" s="29"/>
    </row>
    <row r="24" spans="1:29" ht="15" thickBot="1" x14ac:dyDescent="0.35">
      <c r="A24" s="49" t="s">
        <v>28</v>
      </c>
      <c r="B24" s="43">
        <v>570000</v>
      </c>
      <c r="C24" s="42"/>
      <c r="D24" s="26" t="s">
        <v>29</v>
      </c>
      <c r="E24" s="35">
        <v>147500</v>
      </c>
      <c r="F24" s="55" t="s">
        <v>30</v>
      </c>
      <c r="G24" s="56"/>
      <c r="H24" s="57"/>
      <c r="I24" s="58">
        <f>I1+B61-E61</f>
        <v>28981633.280000001</v>
      </c>
      <c r="J24" s="57"/>
      <c r="K24" s="37"/>
      <c r="L24" s="9"/>
      <c r="M24" s="9"/>
      <c r="N24" s="9"/>
      <c r="O24" s="9"/>
      <c r="V24" s="29"/>
    </row>
    <row r="25" spans="1:29" x14ac:dyDescent="0.3">
      <c r="A25" s="49" t="s">
        <v>31</v>
      </c>
      <c r="B25" s="43">
        <v>1151000</v>
      </c>
      <c r="C25" s="42"/>
      <c r="D25" s="26" t="s">
        <v>32</v>
      </c>
      <c r="E25" s="59">
        <v>1400</v>
      </c>
      <c r="F25" s="57"/>
      <c r="G25" s="57"/>
      <c r="H25" s="57"/>
      <c r="I25" s="57"/>
      <c r="J25" s="57"/>
      <c r="K25" s="37"/>
      <c r="L25" s="9"/>
      <c r="M25" s="9"/>
      <c r="N25" s="9"/>
      <c r="O25" s="9"/>
      <c r="V25" s="29"/>
      <c r="Z25" s="60"/>
      <c r="AA25" s="60"/>
      <c r="AB25" s="60"/>
    </row>
    <row r="26" spans="1:29" ht="15" thickBot="1" x14ac:dyDescent="0.35">
      <c r="A26" s="49" t="s">
        <v>33</v>
      </c>
      <c r="B26" s="43">
        <v>52000</v>
      </c>
      <c r="C26" s="42"/>
      <c r="D26" s="26" t="s">
        <v>34</v>
      </c>
      <c r="E26" s="61">
        <v>456500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49" t="s">
        <v>35</v>
      </c>
      <c r="B27" s="43">
        <v>161000</v>
      </c>
      <c r="C27" s="42"/>
      <c r="D27" s="62" t="s">
        <v>36</v>
      </c>
      <c r="E27" s="63">
        <v>30000</v>
      </c>
      <c r="F27" s="64" t="s">
        <v>37</v>
      </c>
      <c r="G27" s="65"/>
      <c r="H27" s="66"/>
      <c r="I27" s="8">
        <f>I24-I4</f>
        <v>-126.60600000247359</v>
      </c>
      <c r="J27" s="66"/>
      <c r="K27" s="9"/>
      <c r="L27" s="9"/>
      <c r="M27" s="9"/>
      <c r="N27" s="9"/>
      <c r="O27" s="9"/>
      <c r="V27" s="29"/>
      <c r="Z27" s="60"/>
      <c r="AA27" s="60"/>
      <c r="AB27" s="60"/>
    </row>
    <row r="28" spans="1:29" x14ac:dyDescent="0.3">
      <c r="A28" s="49" t="s">
        <v>38</v>
      </c>
      <c r="B28" s="43">
        <v>50000</v>
      </c>
      <c r="C28" s="42"/>
      <c r="D28" s="26" t="s">
        <v>39</v>
      </c>
      <c r="E28" s="61">
        <v>29500</v>
      </c>
      <c r="F28" s="67"/>
      <c r="G28" s="67"/>
      <c r="H28" s="66"/>
      <c r="I28" s="68"/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49" t="s">
        <v>40</v>
      </c>
      <c r="B29" s="43">
        <v>150000</v>
      </c>
      <c r="C29" s="42"/>
      <c r="D29" s="26" t="s">
        <v>41</v>
      </c>
      <c r="E29" s="61">
        <v>400000</v>
      </c>
      <c r="F29" s="67"/>
      <c r="G29" s="68">
        <v>1035750</v>
      </c>
      <c r="H29" s="9">
        <v>2545750</v>
      </c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ht="15" thickBot="1" x14ac:dyDescent="0.35">
      <c r="A30" s="49" t="s">
        <v>42</v>
      </c>
      <c r="B30" s="43">
        <v>150000</v>
      </c>
      <c r="C30" s="42"/>
      <c r="D30" s="26" t="s">
        <v>43</v>
      </c>
      <c r="E30" s="61">
        <v>10000</v>
      </c>
      <c r="F30" s="66" t="s">
        <v>14</v>
      </c>
      <c r="G30" s="66"/>
      <c r="H30" s="66"/>
      <c r="K30" s="66"/>
      <c r="L30" s="9"/>
      <c r="M30" s="9"/>
      <c r="N30" s="9"/>
      <c r="O30" s="9"/>
      <c r="V30" s="29"/>
      <c r="Z30" s="60"/>
      <c r="AA30" s="60"/>
      <c r="AB30" s="60"/>
    </row>
    <row r="31" spans="1:29" ht="15" thickBot="1" x14ac:dyDescent="0.35">
      <c r="A31" s="69" t="s">
        <v>44</v>
      </c>
      <c r="B31" s="70">
        <v>129066</v>
      </c>
      <c r="C31" s="42"/>
      <c r="D31" s="26" t="s">
        <v>45</v>
      </c>
      <c r="E31" s="61">
        <v>3000</v>
      </c>
      <c r="F31" s="71" t="s">
        <v>46</v>
      </c>
      <c r="G31" s="72" t="s">
        <v>47</v>
      </c>
      <c r="H31" s="73" t="s">
        <v>48</v>
      </c>
      <c r="I31" s="74" t="s">
        <v>49</v>
      </c>
      <c r="J31" s="75"/>
      <c r="L31" s="9"/>
      <c r="M31" s="9"/>
      <c r="N31" s="9"/>
      <c r="O31" s="9"/>
      <c r="Z31" s="60"/>
      <c r="AA31" s="60"/>
      <c r="AB31" s="60"/>
    </row>
    <row r="32" spans="1:29" ht="15" thickBot="1" x14ac:dyDescent="0.35">
      <c r="A32" s="49" t="s">
        <v>50</v>
      </c>
      <c r="B32" s="43">
        <v>232300</v>
      </c>
      <c r="C32" s="42"/>
      <c r="D32" s="76"/>
      <c r="E32" s="77"/>
      <c r="F32" s="78" t="s">
        <v>51</v>
      </c>
      <c r="G32" s="43">
        <v>1656300</v>
      </c>
      <c r="H32" s="61">
        <f>G32/100*94.5-B38</f>
        <v>-36604.229999999981</v>
      </c>
      <c r="I32" s="79"/>
      <c r="J32" s="80"/>
      <c r="L32" s="9"/>
      <c r="M32" s="9"/>
      <c r="N32" s="9"/>
      <c r="O32" s="9"/>
      <c r="Z32" s="60"/>
      <c r="AA32" s="60"/>
      <c r="AB32" s="60"/>
    </row>
    <row r="33" spans="1:28" x14ac:dyDescent="0.3">
      <c r="A33" s="49" t="s">
        <v>52</v>
      </c>
      <c r="B33" s="43">
        <v>250000</v>
      </c>
      <c r="C33" s="42"/>
      <c r="D33" s="26"/>
      <c r="E33" s="61"/>
      <c r="F33" s="81" t="s">
        <v>53</v>
      </c>
      <c r="G33" s="43"/>
      <c r="H33" s="61">
        <f>G33/100*94-B39</f>
        <v>0</v>
      </c>
      <c r="I33" s="79"/>
      <c r="J33" s="80"/>
      <c r="L33" s="9"/>
      <c r="M33" s="9"/>
      <c r="N33" s="9"/>
      <c r="O33" s="9"/>
      <c r="Z33" s="60"/>
      <c r="AA33" s="60"/>
      <c r="AB33" s="60"/>
    </row>
    <row r="34" spans="1:28" x14ac:dyDescent="0.3">
      <c r="A34" s="49" t="s">
        <v>54</v>
      </c>
      <c r="B34" s="43">
        <v>5000000</v>
      </c>
      <c r="C34" s="42"/>
      <c r="D34" s="26"/>
      <c r="E34" s="61"/>
      <c r="F34" s="78" t="s">
        <v>11</v>
      </c>
      <c r="G34" s="43">
        <v>1495800</v>
      </c>
      <c r="H34" s="61">
        <f>G34/100*94.5-B40</f>
        <v>-25428.600000000093</v>
      </c>
      <c r="I34" s="82" t="s">
        <v>55</v>
      </c>
      <c r="J34" s="83">
        <v>42000</v>
      </c>
      <c r="L34" s="9"/>
      <c r="M34" s="9"/>
      <c r="N34" s="9"/>
      <c r="O34" s="9"/>
      <c r="Z34" s="60"/>
      <c r="AA34" s="60"/>
      <c r="AB34" s="60"/>
    </row>
    <row r="35" spans="1:28" x14ac:dyDescent="0.3">
      <c r="A35" s="49" t="s">
        <v>56</v>
      </c>
      <c r="B35" s="43">
        <v>700000</v>
      </c>
      <c r="C35" s="42"/>
      <c r="D35" s="84"/>
      <c r="E35" s="61"/>
      <c r="F35" s="78" t="s">
        <v>57</v>
      </c>
      <c r="G35" s="43">
        <v>1013060</v>
      </c>
      <c r="H35" s="61">
        <f>G35/100*94.5-B41</f>
        <v>-17829.856000000029</v>
      </c>
      <c r="I35" s="82" t="s">
        <v>58</v>
      </c>
      <c r="J35" s="83">
        <v>45000</v>
      </c>
      <c r="L35" s="9"/>
      <c r="M35" s="9"/>
      <c r="N35" s="9"/>
      <c r="O35" s="9"/>
      <c r="P35" s="9"/>
      <c r="Z35" s="60"/>
      <c r="AA35" s="60"/>
      <c r="AB35" s="60"/>
    </row>
    <row r="36" spans="1:28" x14ac:dyDescent="0.3">
      <c r="A36" s="49" t="s">
        <v>59</v>
      </c>
      <c r="B36" s="43">
        <v>456500</v>
      </c>
      <c r="C36" s="42"/>
      <c r="D36" s="62"/>
      <c r="E36" s="61"/>
      <c r="F36" s="81" t="s">
        <v>60</v>
      </c>
      <c r="G36" s="85"/>
      <c r="H36" s="86">
        <f>G36/100*95.5-B42</f>
        <v>0</v>
      </c>
      <c r="I36" s="10" t="s">
        <v>61</v>
      </c>
      <c r="J36" s="83">
        <v>406000</v>
      </c>
      <c r="L36" s="87"/>
      <c r="M36" s="9"/>
      <c r="N36" s="9"/>
      <c r="Z36" s="60"/>
      <c r="AA36" s="60"/>
      <c r="AB36" s="60"/>
    </row>
    <row r="37" spans="1:28" x14ac:dyDescent="0.3">
      <c r="A37" s="39" t="s">
        <v>62</v>
      </c>
      <c r="B37" s="12"/>
      <c r="C37" s="30"/>
      <c r="D37" s="26"/>
      <c r="E37" s="35"/>
      <c r="F37" s="81" t="s">
        <v>63</v>
      </c>
      <c r="G37" s="43">
        <v>100000</v>
      </c>
      <c r="H37" s="61">
        <f>G37/100*94.5-B44</f>
        <v>-1930</v>
      </c>
      <c r="I37" s="10" t="s">
        <v>64</v>
      </c>
      <c r="J37" s="83">
        <v>580000</v>
      </c>
      <c r="L37" s="87"/>
      <c r="M37" s="9"/>
      <c r="N37" s="9"/>
      <c r="Z37" s="60"/>
      <c r="AA37" s="60"/>
      <c r="AB37" s="60"/>
    </row>
    <row r="38" spans="1:28" x14ac:dyDescent="0.3">
      <c r="A38" s="11" t="s">
        <v>65</v>
      </c>
      <c r="B38" s="12">
        <f>G32/100*96.71</f>
        <v>1601807.73</v>
      </c>
      <c r="C38" s="30"/>
      <c r="D38" s="26"/>
      <c r="E38" s="61"/>
      <c r="F38" s="81" t="s">
        <v>66</v>
      </c>
      <c r="G38" s="43"/>
      <c r="H38" s="61">
        <f>G38/100*94.5-B43</f>
        <v>0</v>
      </c>
      <c r="I38" s="10" t="s">
        <v>67</v>
      </c>
      <c r="J38" s="88">
        <v>8000</v>
      </c>
      <c r="L38" s="89"/>
      <c r="M38" s="9"/>
      <c r="N38" s="9"/>
      <c r="Z38" s="60"/>
      <c r="AA38" s="60"/>
      <c r="AB38" s="60"/>
    </row>
    <row r="39" spans="1:28" x14ac:dyDescent="0.3">
      <c r="A39" s="11" t="s">
        <v>68</v>
      </c>
      <c r="B39" s="12">
        <f>G33/100*96.26</f>
        <v>0</v>
      </c>
      <c r="C39" s="30"/>
      <c r="D39" s="26"/>
      <c r="E39" s="61"/>
      <c r="F39" s="81" t="s">
        <v>69</v>
      </c>
      <c r="G39" s="43"/>
      <c r="H39" s="90">
        <f>G39/100*95-B45</f>
        <v>0</v>
      </c>
      <c r="I39" s="10" t="s">
        <v>70</v>
      </c>
      <c r="J39" s="88">
        <v>114000</v>
      </c>
      <c r="K39" s="9"/>
      <c r="L39" s="89"/>
      <c r="M39" s="9"/>
      <c r="N39" s="9"/>
      <c r="Z39" s="60"/>
      <c r="AA39" s="60"/>
      <c r="AB39" s="60"/>
    </row>
    <row r="40" spans="1:28" x14ac:dyDescent="0.3">
      <c r="A40" s="11" t="s">
        <v>11</v>
      </c>
      <c r="B40" s="12">
        <f>G34/100*96.2</f>
        <v>1438959.6</v>
      </c>
      <c r="C40" s="30"/>
      <c r="D40" s="26"/>
      <c r="E40" s="61"/>
      <c r="F40" s="81"/>
      <c r="G40" s="43"/>
      <c r="H40" s="91"/>
      <c r="I40" s="10" t="s">
        <v>71</v>
      </c>
      <c r="J40" s="88">
        <v>90000</v>
      </c>
      <c r="L40" s="9"/>
      <c r="M40" s="9"/>
      <c r="N40" s="9"/>
      <c r="Z40" s="60"/>
      <c r="AA40" s="60"/>
      <c r="AB40" s="60"/>
    </row>
    <row r="41" spans="1:28" x14ac:dyDescent="0.3">
      <c r="A41" s="11" t="s">
        <v>57</v>
      </c>
      <c r="B41" s="12">
        <f>G35/100*96.26</f>
        <v>975171.5560000001</v>
      </c>
      <c r="C41" s="30"/>
      <c r="D41" s="26"/>
      <c r="E41" s="61"/>
      <c r="F41" s="81"/>
      <c r="G41" s="49"/>
      <c r="H41" s="91"/>
      <c r="I41" s="10" t="s">
        <v>72</v>
      </c>
      <c r="J41" s="92">
        <v>100000</v>
      </c>
      <c r="L41" s="9"/>
      <c r="M41" s="9"/>
      <c r="N41" s="9"/>
      <c r="Z41" s="60"/>
      <c r="AA41" s="60"/>
      <c r="AB41" s="60"/>
    </row>
    <row r="42" spans="1:28" x14ac:dyDescent="0.3">
      <c r="A42" s="26" t="s">
        <v>73</v>
      </c>
      <c r="B42" s="93">
        <f>G36/100*96.86</f>
        <v>0</v>
      </c>
      <c r="C42" s="30"/>
      <c r="D42" s="26"/>
      <c r="E42" s="61"/>
      <c r="F42" s="81"/>
      <c r="G42" s="49"/>
      <c r="H42" s="91"/>
      <c r="I42" s="82" t="s">
        <v>74</v>
      </c>
      <c r="J42" s="88">
        <v>35000</v>
      </c>
      <c r="L42" s="89"/>
      <c r="M42" s="7"/>
      <c r="N42" s="7"/>
      <c r="Z42" s="60"/>
      <c r="AA42" s="60"/>
      <c r="AB42" s="60"/>
    </row>
    <row r="43" spans="1:28" x14ac:dyDescent="0.3">
      <c r="A43" s="26" t="s">
        <v>66</v>
      </c>
      <c r="B43" s="25">
        <f>G38/100*97.41</f>
        <v>0</v>
      </c>
      <c r="C43" s="30"/>
      <c r="D43" s="26"/>
      <c r="E43" s="61"/>
      <c r="F43" s="94" t="s">
        <v>75</v>
      </c>
      <c r="G43" s="95">
        <f>SUM(G32+G33+G34+G35+G37+G38)</f>
        <v>4265160</v>
      </c>
      <c r="H43" s="96">
        <f>SUM(H32:H42)</f>
        <v>-81792.686000000103</v>
      </c>
      <c r="I43" s="10" t="s">
        <v>76</v>
      </c>
      <c r="J43" s="97">
        <v>30000</v>
      </c>
      <c r="K43" s="9"/>
      <c r="L43" s="9"/>
      <c r="M43" s="9"/>
      <c r="N43" s="9"/>
      <c r="Z43" s="60"/>
      <c r="AA43" s="60"/>
      <c r="AB43" s="60"/>
    </row>
    <row r="44" spans="1:28" x14ac:dyDescent="0.3">
      <c r="A44" s="26" t="s">
        <v>77</v>
      </c>
      <c r="B44" s="25">
        <f>G37/100*96.43</f>
        <v>96430</v>
      </c>
      <c r="C44" s="30"/>
      <c r="D44" s="26"/>
      <c r="E44" s="61"/>
      <c r="F44" s="98" t="s">
        <v>78</v>
      </c>
      <c r="G44" s="99" t="s">
        <v>79</v>
      </c>
      <c r="H44" s="100" t="s">
        <v>80</v>
      </c>
      <c r="I44" s="10" t="s">
        <v>81</v>
      </c>
      <c r="J44" s="97">
        <v>150000</v>
      </c>
      <c r="L44" s="9"/>
      <c r="M44" s="9"/>
      <c r="N44" s="9"/>
      <c r="Z44" s="60"/>
      <c r="AA44" s="60"/>
      <c r="AB44" s="60"/>
    </row>
    <row r="45" spans="1:28" x14ac:dyDescent="0.3">
      <c r="A45" s="62" t="s">
        <v>69</v>
      </c>
      <c r="B45" s="25">
        <f>G39/100*97.41</f>
        <v>0</v>
      </c>
      <c r="C45" s="30"/>
      <c r="D45" s="26"/>
      <c r="E45" s="61"/>
      <c r="F45" s="101" t="s">
        <v>44</v>
      </c>
      <c r="G45" s="102">
        <v>637500</v>
      </c>
      <c r="H45" s="103">
        <f>G45/100*96</f>
        <v>612000</v>
      </c>
      <c r="I45" s="104" t="s">
        <v>82</v>
      </c>
      <c r="J45" s="97">
        <v>100000</v>
      </c>
      <c r="L45" s="9"/>
      <c r="M45" s="9"/>
      <c r="N45" s="9"/>
      <c r="Z45" s="60"/>
      <c r="AA45" s="60"/>
      <c r="AB45" s="60"/>
    </row>
    <row r="46" spans="1:28" x14ac:dyDescent="0.3">
      <c r="A46" s="105" t="s">
        <v>83</v>
      </c>
      <c r="B46" s="106">
        <f>SUM(B2:B45)</f>
        <v>31938759.886000004</v>
      </c>
      <c r="C46" s="30"/>
      <c r="D46" s="26"/>
      <c r="E46" s="61"/>
      <c r="F46" s="101" t="s">
        <v>84</v>
      </c>
      <c r="G46" s="107">
        <v>650000</v>
      </c>
      <c r="H46" s="108">
        <f>G46</f>
        <v>650000</v>
      </c>
      <c r="L46" s="89"/>
      <c r="M46" s="9"/>
      <c r="N46" s="9"/>
      <c r="Z46" s="60"/>
      <c r="AA46" s="60"/>
      <c r="AB46" s="60"/>
    </row>
    <row r="47" spans="1:28" x14ac:dyDescent="0.3">
      <c r="A47" s="54" t="s">
        <v>85</v>
      </c>
      <c r="B47" s="12"/>
      <c r="C47" s="30"/>
      <c r="D47" s="26"/>
      <c r="E47" s="61"/>
      <c r="F47" s="109" t="s">
        <v>86</v>
      </c>
      <c r="G47" s="107"/>
      <c r="H47" s="108">
        <f>-G47</f>
        <v>0</v>
      </c>
      <c r="L47" s="9"/>
      <c r="M47" s="9"/>
      <c r="N47" s="110"/>
      <c r="Z47" s="60"/>
      <c r="AA47" s="60"/>
      <c r="AB47" s="60"/>
    </row>
    <row r="48" spans="1:28" x14ac:dyDescent="0.3">
      <c r="A48" s="54" t="s">
        <v>87</v>
      </c>
      <c r="B48" s="12">
        <v>95000</v>
      </c>
      <c r="C48" s="30"/>
      <c r="D48" s="26"/>
      <c r="E48" s="61"/>
      <c r="F48" s="109" t="s">
        <v>88</v>
      </c>
      <c r="G48" s="107">
        <v>-167066</v>
      </c>
      <c r="H48" s="108"/>
      <c r="J48" s="111">
        <f ca="1">SUM(J34:J53)</f>
        <v>1700000</v>
      </c>
      <c r="L48" s="9"/>
      <c r="M48" s="9"/>
      <c r="N48" s="9"/>
      <c r="Z48" s="60"/>
      <c r="AA48" s="60"/>
      <c r="AB48" s="60"/>
    </row>
    <row r="49" spans="1:29" x14ac:dyDescent="0.3">
      <c r="A49" s="112" t="s">
        <v>44</v>
      </c>
      <c r="B49" s="113">
        <f>G45*0.015</f>
        <v>9562.5</v>
      </c>
      <c r="C49" s="30"/>
      <c r="D49" s="26"/>
      <c r="E49" s="61"/>
      <c r="F49" s="109"/>
      <c r="G49" s="107"/>
      <c r="H49" s="108"/>
      <c r="L49" s="9"/>
      <c r="M49" s="9"/>
      <c r="N49" s="9"/>
      <c r="X49" s="48"/>
      <c r="Y49" s="104"/>
      <c r="Z49" s="114"/>
      <c r="AA49" s="115"/>
      <c r="AB49" s="115"/>
    </row>
    <row r="50" spans="1:29" ht="14.4" customHeight="1" x14ac:dyDescent="0.3">
      <c r="A50" s="26" t="s">
        <v>89</v>
      </c>
      <c r="B50" s="25">
        <v>2500000</v>
      </c>
      <c r="C50" s="30"/>
      <c r="D50" s="26"/>
      <c r="E50" s="61"/>
      <c r="F50" s="116" t="s">
        <v>90</v>
      </c>
      <c r="G50" s="117">
        <f>G46-H45-G47+G48</f>
        <v>-129066</v>
      </c>
      <c r="H50" s="118"/>
      <c r="K50" s="9"/>
      <c r="L50" s="9"/>
      <c r="M50" s="9"/>
      <c r="N50" s="9"/>
      <c r="S50" s="104"/>
      <c r="X50" s="29"/>
      <c r="Y50" s="104"/>
      <c r="Z50" s="104"/>
      <c r="AA50" s="82"/>
      <c r="AB50" s="119"/>
    </row>
    <row r="51" spans="1:29" ht="15" customHeight="1" thickBot="1" x14ac:dyDescent="0.35">
      <c r="A51" s="54"/>
      <c r="B51" s="12"/>
      <c r="C51" s="30"/>
      <c r="D51" s="54"/>
      <c r="E51" s="120"/>
      <c r="F51" s="121"/>
      <c r="G51" s="122"/>
      <c r="H51" s="123"/>
      <c r="K51" s="9"/>
      <c r="L51" s="9"/>
      <c r="M51" s="9"/>
      <c r="N51" s="9"/>
      <c r="S51" s="104"/>
      <c r="Y51" s="104"/>
      <c r="Z51" s="104"/>
      <c r="AA51" s="82"/>
      <c r="AB51" s="119"/>
    </row>
    <row r="52" spans="1:29" ht="14.4" customHeight="1" x14ac:dyDescent="0.3">
      <c r="A52" s="54"/>
      <c r="B52" s="124"/>
      <c r="C52" s="30"/>
      <c r="D52" s="54"/>
      <c r="E52" s="124"/>
      <c r="F52" s="125" t="s">
        <v>91</v>
      </c>
      <c r="G52" s="126"/>
      <c r="H52" s="127"/>
      <c r="I52" s="9"/>
      <c r="J52" s="111"/>
      <c r="K52" s="9"/>
      <c r="L52" s="9"/>
      <c r="M52" s="9"/>
      <c r="N52" s="9"/>
      <c r="S52" s="104"/>
      <c r="X52" s="29"/>
      <c r="Y52" s="104"/>
      <c r="Z52" s="104"/>
      <c r="AB52" s="119"/>
    </row>
    <row r="53" spans="1:29" ht="14.4" customHeight="1" x14ac:dyDescent="0.3">
      <c r="A53" s="54"/>
      <c r="B53" s="12"/>
      <c r="C53" s="30"/>
      <c r="D53" s="54"/>
      <c r="E53" s="124"/>
      <c r="F53" s="24" t="s">
        <v>92</v>
      </c>
      <c r="G53" s="43">
        <v>157400</v>
      </c>
      <c r="H53" s="61">
        <f>G53/100*94.5</f>
        <v>148743</v>
      </c>
      <c r="I53" s="104"/>
      <c r="J53" s="104"/>
      <c r="K53" s="9"/>
      <c r="L53" s="9"/>
      <c r="M53" s="9"/>
      <c r="N53" s="9"/>
      <c r="P53" s="82"/>
      <c r="Q53" s="82"/>
      <c r="S53" s="9"/>
      <c r="X53" s="29"/>
      <c r="Y53" s="104"/>
      <c r="Z53" s="104"/>
      <c r="AB53" s="119"/>
    </row>
    <row r="54" spans="1:29" x14ac:dyDescent="0.3">
      <c r="A54" s="54"/>
      <c r="B54" s="12"/>
      <c r="C54" s="30"/>
      <c r="D54" s="54"/>
      <c r="E54" s="124"/>
      <c r="F54" s="24" t="s">
        <v>93</v>
      </c>
      <c r="G54" s="43">
        <v>141390</v>
      </c>
      <c r="H54" s="61">
        <f>-G54</f>
        <v>-141390</v>
      </c>
      <c r="I54" s="9"/>
      <c r="J54" s="9"/>
      <c r="K54" s="9"/>
      <c r="L54" s="9"/>
      <c r="M54" s="9"/>
      <c r="N54" s="9"/>
      <c r="P54" s="82"/>
      <c r="Q54" s="119"/>
      <c r="S54" s="9"/>
      <c r="X54" s="29"/>
      <c r="Y54" s="104"/>
      <c r="Z54" s="104"/>
      <c r="AB54" s="119"/>
    </row>
    <row r="55" spans="1:29" x14ac:dyDescent="0.3">
      <c r="A55" s="54"/>
      <c r="B55" s="12"/>
      <c r="C55" s="30"/>
      <c r="D55" s="54"/>
      <c r="E55" s="124"/>
      <c r="F55" s="24" t="s">
        <v>94</v>
      </c>
      <c r="G55" s="43">
        <v>-82082</v>
      </c>
      <c r="H55" s="61">
        <f>G55</f>
        <v>-82082</v>
      </c>
      <c r="I55" s="9"/>
      <c r="J55" s="111"/>
      <c r="K55" s="9"/>
      <c r="L55" s="9"/>
      <c r="M55" s="9"/>
      <c r="N55" s="9"/>
      <c r="P55" s="82"/>
      <c r="Q55" s="119"/>
      <c r="S55" s="9"/>
      <c r="Y55" s="104"/>
      <c r="Z55" s="104"/>
      <c r="AB55" s="128"/>
    </row>
    <row r="56" spans="1:29" x14ac:dyDescent="0.3">
      <c r="A56" s="54"/>
      <c r="B56" s="12"/>
      <c r="C56" s="30"/>
      <c r="D56" s="26"/>
      <c r="E56" s="124"/>
      <c r="F56" s="24"/>
      <c r="G56" s="95" t="s">
        <v>90</v>
      </c>
      <c r="H56" s="61">
        <f>SUM(H53:H55)</f>
        <v>-74729</v>
      </c>
      <c r="I56" s="51"/>
      <c r="J56" s="129"/>
      <c r="K56" s="9"/>
      <c r="L56" s="9"/>
      <c r="M56" s="9"/>
      <c r="N56" s="9"/>
      <c r="Q56" s="119"/>
      <c r="S56" s="9"/>
      <c r="Y56" s="104"/>
      <c r="Z56" s="104"/>
      <c r="AB56" s="128"/>
      <c r="AC56" s="104"/>
    </row>
    <row r="57" spans="1:29" x14ac:dyDescent="0.3">
      <c r="A57" s="62"/>
      <c r="B57" s="9"/>
      <c r="C57" s="30"/>
      <c r="D57" s="26"/>
      <c r="E57" s="124"/>
      <c r="F57" s="130" t="s">
        <v>95</v>
      </c>
      <c r="G57" s="131"/>
      <c r="H57" s="132"/>
      <c r="I57" s="104"/>
      <c r="J57" s="104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54"/>
      <c r="B58" s="12"/>
      <c r="C58" s="30"/>
      <c r="D58" s="26"/>
      <c r="E58" s="124"/>
      <c r="F58" s="24" t="s">
        <v>92</v>
      </c>
      <c r="G58" s="43">
        <v>75000</v>
      </c>
      <c r="H58" s="61">
        <f>G58/100*94.5</f>
        <v>70875</v>
      </c>
      <c r="I58" s="104"/>
      <c r="J58" s="104"/>
      <c r="K58" s="9"/>
      <c r="L58" s="9"/>
      <c r="M58" s="9"/>
      <c r="N58" s="9"/>
      <c r="O58" s="9"/>
      <c r="Q58" s="119"/>
      <c r="S58" s="104"/>
      <c r="X58" s="48"/>
      <c r="Y58" s="104"/>
      <c r="Z58" s="104"/>
      <c r="AB58" s="128"/>
      <c r="AC58" s="104"/>
    </row>
    <row r="59" spans="1:29" x14ac:dyDescent="0.3">
      <c r="A59" s="54"/>
      <c r="B59" s="12"/>
      <c r="C59" s="30"/>
      <c r="D59" s="26"/>
      <c r="E59" s="12"/>
      <c r="F59" s="24" t="s">
        <v>93</v>
      </c>
      <c r="G59" s="43">
        <v>69075</v>
      </c>
      <c r="H59" s="61">
        <f>-G59</f>
        <v>-69075</v>
      </c>
      <c r="I59" s="104"/>
      <c r="J59" s="104"/>
      <c r="K59" s="9"/>
      <c r="L59" s="9"/>
      <c r="M59" s="9"/>
      <c r="N59" s="9"/>
      <c r="O59" s="9"/>
      <c r="Q59" s="128"/>
      <c r="S59" s="104"/>
      <c r="X59" s="133"/>
      <c r="Y59" s="133"/>
      <c r="Z59" s="133"/>
      <c r="AB59" s="128"/>
      <c r="AC59" s="104"/>
    </row>
    <row r="60" spans="1:29" ht="15" thickBot="1" x14ac:dyDescent="0.35">
      <c r="A60" s="27"/>
      <c r="B60" s="134"/>
      <c r="C60" s="30"/>
      <c r="D60" s="135"/>
      <c r="E60" s="136"/>
      <c r="F60" s="24" t="s">
        <v>94</v>
      </c>
      <c r="G60" s="43">
        <v>-74729</v>
      </c>
      <c r="H60" s="61">
        <f>G60</f>
        <v>-74729</v>
      </c>
      <c r="I60" s="104"/>
      <c r="J60" s="104"/>
      <c r="K60" s="9"/>
      <c r="L60" s="9"/>
      <c r="M60" s="9"/>
      <c r="N60" s="9"/>
      <c r="O60" s="9"/>
      <c r="Q60" s="128"/>
      <c r="S60" s="104"/>
      <c r="X60" s="104"/>
      <c r="Y60" s="104"/>
      <c r="Z60" s="104"/>
      <c r="AB60" s="137"/>
      <c r="AC60" s="104"/>
    </row>
    <row r="61" spans="1:29" ht="15" thickBot="1" x14ac:dyDescent="0.35">
      <c r="A61" s="138" t="s">
        <v>96</v>
      </c>
      <c r="B61" s="139">
        <f>SUM(B48:B60)</f>
        <v>2604562.5</v>
      </c>
      <c r="C61" s="140"/>
      <c r="D61" s="141" t="s">
        <v>16</v>
      </c>
      <c r="E61" s="142">
        <f>SUM(E11:E60)</f>
        <v>2010150</v>
      </c>
      <c r="F61" s="24"/>
      <c r="G61" s="95" t="s">
        <v>90</v>
      </c>
      <c r="H61" s="61">
        <f>SUM(H58:H60)</f>
        <v>-72929</v>
      </c>
      <c r="I61" s="9"/>
      <c r="J61" s="9"/>
      <c r="K61" s="9"/>
      <c r="L61" s="9"/>
      <c r="M61" s="9"/>
      <c r="N61" s="9"/>
      <c r="O61" s="9"/>
      <c r="Q61" s="128"/>
      <c r="X61" s="104"/>
      <c r="Y61" s="104"/>
      <c r="Z61" s="104"/>
      <c r="AA61" s="143"/>
      <c r="AB61" s="144"/>
      <c r="AC61" s="104"/>
    </row>
    <row r="62" spans="1:29" x14ac:dyDescent="0.3">
      <c r="B62" s="10" t="s">
        <v>97</v>
      </c>
      <c r="C62" s="145"/>
      <c r="E62" s="104"/>
      <c r="F62" s="130" t="s">
        <v>98</v>
      </c>
      <c r="G62" s="131"/>
      <c r="H62" s="132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B62" s="104"/>
      <c r="AC62" s="104"/>
    </row>
    <row r="63" spans="1:29" x14ac:dyDescent="0.3">
      <c r="C63" s="145"/>
      <c r="D63" s="146"/>
      <c r="E63" s="146"/>
      <c r="F63" s="24" t="s">
        <v>92</v>
      </c>
      <c r="G63" s="43">
        <v>4073660</v>
      </c>
      <c r="H63" s="61">
        <f>G63/100*94.5</f>
        <v>3849608.6999999997</v>
      </c>
      <c r="I63" s="9"/>
      <c r="J63" s="9"/>
      <c r="K63" s="104"/>
      <c r="L63" s="104"/>
      <c r="M63" s="9"/>
      <c r="N63" s="9"/>
      <c r="O63" s="9"/>
      <c r="Q63" s="128"/>
      <c r="X63" s="104"/>
      <c r="Y63" s="104"/>
      <c r="Z63" s="104"/>
      <c r="AC63" s="104"/>
    </row>
    <row r="64" spans="1:29" x14ac:dyDescent="0.3">
      <c r="C64" s="145"/>
      <c r="E64" s="128"/>
      <c r="F64" s="24" t="s">
        <v>93</v>
      </c>
      <c r="G64" s="43">
        <v>4008980</v>
      </c>
      <c r="H64" s="61">
        <f>-G64</f>
        <v>-4008980</v>
      </c>
      <c r="I64" s="9"/>
      <c r="J64" s="9"/>
      <c r="K64" s="104"/>
      <c r="L64" s="104"/>
      <c r="M64" s="9"/>
      <c r="N64" s="9"/>
      <c r="O64" s="9"/>
      <c r="Q64" s="137"/>
      <c r="X64" s="104"/>
      <c r="Y64" s="51"/>
      <c r="Z64" s="104"/>
      <c r="AB64" s="104"/>
      <c r="AC64" s="104"/>
    </row>
    <row r="65" spans="1:29" ht="15" thickBot="1" x14ac:dyDescent="0.35">
      <c r="C65" s="145"/>
      <c r="E65" s="128"/>
      <c r="F65" s="147" t="s">
        <v>94</v>
      </c>
      <c r="G65" s="148">
        <v>-72929</v>
      </c>
      <c r="H65" s="149">
        <f>G65</f>
        <v>-72929</v>
      </c>
      <c r="I65" s="9"/>
      <c r="J65" s="104"/>
      <c r="K65" s="104"/>
      <c r="L65" s="104"/>
      <c r="M65" s="9"/>
      <c r="N65" s="9"/>
      <c r="O65" s="9"/>
      <c r="P65" s="143"/>
      <c r="Q65" s="144"/>
      <c r="X65" s="150"/>
      <c r="Y65" s="150"/>
      <c r="Z65" s="150"/>
      <c r="AB65" s="104"/>
      <c r="AC65" s="104"/>
    </row>
    <row r="66" spans="1:29" ht="15" thickBot="1" x14ac:dyDescent="0.35">
      <c r="C66" s="151"/>
      <c r="E66" s="128"/>
      <c r="F66" s="104"/>
      <c r="G66" s="152" t="s">
        <v>90</v>
      </c>
      <c r="H66" s="153">
        <f>SUM(H63:H65)</f>
        <v>-232300.30000000028</v>
      </c>
      <c r="I66" s="9"/>
      <c r="J66" s="104"/>
      <c r="K66" s="37"/>
      <c r="L66" s="104"/>
      <c r="M66" s="9"/>
      <c r="N66" s="9"/>
      <c r="O66" s="9"/>
      <c r="Q66" s="104"/>
      <c r="X66" s="104"/>
      <c r="Y66" s="104"/>
      <c r="Z66" s="104"/>
      <c r="AB66" s="104"/>
      <c r="AC66" s="104"/>
    </row>
    <row r="67" spans="1:29" x14ac:dyDescent="0.3">
      <c r="C67" s="151"/>
      <c r="E67" s="128"/>
      <c r="F67" s="154"/>
      <c r="G67" s="104"/>
      <c r="I67" s="104"/>
      <c r="J67" s="104"/>
      <c r="K67" s="9"/>
      <c r="L67" s="104"/>
      <c r="M67" s="9"/>
      <c r="N67" s="9"/>
      <c r="O67" s="9"/>
      <c r="X67" s="104"/>
      <c r="Y67" s="104"/>
      <c r="Z67" s="104"/>
      <c r="AB67" s="104"/>
      <c r="AC67" s="104"/>
    </row>
    <row r="68" spans="1:29" x14ac:dyDescent="0.3">
      <c r="C68" s="151"/>
      <c r="D68" s="104"/>
      <c r="E68" s="128"/>
      <c r="F68" s="154"/>
      <c r="G68" s="104"/>
      <c r="H68" s="104"/>
      <c r="I68" s="104"/>
      <c r="J68" s="9"/>
      <c r="K68" s="104"/>
      <c r="L68" s="104"/>
      <c r="M68" s="9"/>
      <c r="N68" s="9"/>
      <c r="O68" s="9"/>
      <c r="Q68" s="104"/>
      <c r="X68" s="104"/>
      <c r="Y68" s="104"/>
      <c r="Z68" s="104"/>
      <c r="AA68" s="104"/>
      <c r="AB68" s="104"/>
      <c r="AC68" s="104"/>
    </row>
    <row r="69" spans="1:29" x14ac:dyDescent="0.3">
      <c r="C69" s="151"/>
      <c r="E69" s="128"/>
      <c r="F69" s="154"/>
      <c r="G69" s="9"/>
      <c r="H69" s="9"/>
      <c r="I69" s="104"/>
      <c r="J69" s="9"/>
      <c r="K69" s="9"/>
      <c r="L69" s="9"/>
      <c r="M69" s="9"/>
      <c r="N69" s="9"/>
      <c r="O69" s="155"/>
      <c r="Q69" s="104"/>
      <c r="X69" s="104"/>
      <c r="Y69" s="104"/>
      <c r="Z69" s="104"/>
      <c r="AC69" s="104"/>
    </row>
    <row r="70" spans="1:29" x14ac:dyDescent="0.3">
      <c r="C70" s="151"/>
      <c r="E70" s="128"/>
      <c r="F70" s="154"/>
      <c r="G70" s="154"/>
      <c r="H70" s="104"/>
      <c r="I70" s="9"/>
      <c r="J70" s="9"/>
      <c r="K70" s="9"/>
      <c r="L70" s="9"/>
      <c r="M70" s="9"/>
      <c r="N70" s="9"/>
      <c r="Q70" s="104"/>
      <c r="X70" s="104"/>
      <c r="Y70" s="51"/>
      <c r="Z70" s="104"/>
      <c r="AC70" s="104"/>
    </row>
    <row r="71" spans="1:29" x14ac:dyDescent="0.3">
      <c r="C71" s="151"/>
      <c r="E71" s="128"/>
      <c r="F71" s="156"/>
      <c r="G71" s="154"/>
      <c r="H71" s="104"/>
      <c r="I71" s="9"/>
      <c r="J71" s="9"/>
      <c r="K71" s="9"/>
      <c r="L71" s="9"/>
      <c r="M71" s="9"/>
      <c r="N71" s="9"/>
      <c r="Q71" s="104"/>
      <c r="X71" s="104"/>
      <c r="AC71" s="104"/>
    </row>
    <row r="72" spans="1:29" x14ac:dyDescent="0.3">
      <c r="C72" s="151"/>
      <c r="E72" s="128"/>
      <c r="F72" s="104"/>
      <c r="G72" s="154"/>
      <c r="H72" s="9"/>
      <c r="I72" s="104"/>
      <c r="J72" s="37"/>
      <c r="K72" s="9"/>
      <c r="L72" s="9"/>
      <c r="M72" s="9"/>
      <c r="O72" s="37"/>
      <c r="P72" s="104"/>
      <c r="Q72" s="104"/>
      <c r="X72" s="114"/>
    </row>
    <row r="73" spans="1:29" x14ac:dyDescent="0.3">
      <c r="C73" s="157"/>
      <c r="E73" s="128"/>
      <c r="F73" s="9"/>
      <c r="G73" s="158"/>
      <c r="H73" s="9"/>
      <c r="I73" s="104"/>
      <c r="J73" s="37"/>
      <c r="K73" s="9"/>
      <c r="L73" s="9"/>
      <c r="M73" s="9"/>
      <c r="X73" s="114"/>
      <c r="Y73" s="104"/>
      <c r="Z73" s="104"/>
      <c r="AB73" s="104"/>
    </row>
    <row r="74" spans="1:29" x14ac:dyDescent="0.3">
      <c r="A74" s="10" t="s">
        <v>99</v>
      </c>
      <c r="C74" s="157"/>
      <c r="E74" s="159"/>
      <c r="F74" s="104"/>
      <c r="G74" s="104"/>
      <c r="H74" s="104"/>
      <c r="I74" s="104"/>
      <c r="K74" s="9"/>
      <c r="L74" s="9"/>
      <c r="M74" s="9"/>
      <c r="N74" s="37"/>
      <c r="O74" s="37"/>
      <c r="X74" s="114"/>
      <c r="Y74" s="104"/>
      <c r="Z74" s="104"/>
    </row>
    <row r="75" spans="1:29" x14ac:dyDescent="0.3">
      <c r="A75" s="10" t="s">
        <v>100</v>
      </c>
      <c r="C75" s="157"/>
      <c r="E75" s="160"/>
      <c r="F75" s="161"/>
      <c r="G75" s="162"/>
      <c r="H75" s="163"/>
      <c r="I75" s="163"/>
      <c r="K75" s="9"/>
      <c r="L75" s="37"/>
      <c r="M75" s="9"/>
      <c r="X75" s="114"/>
      <c r="Y75" s="104"/>
      <c r="Z75" s="104"/>
    </row>
    <row r="76" spans="1:29" x14ac:dyDescent="0.3">
      <c r="A76" s="10" t="s">
        <v>101</v>
      </c>
      <c r="C76" s="157"/>
      <c r="E76" s="164"/>
      <c r="F76" s="161"/>
      <c r="G76" s="162"/>
      <c r="H76" s="163"/>
      <c r="I76" s="163"/>
      <c r="K76" s="37"/>
      <c r="L76" s="37"/>
      <c r="M76" s="9"/>
      <c r="X76" s="114"/>
      <c r="Y76" s="104"/>
      <c r="Z76" s="104"/>
    </row>
    <row r="77" spans="1:29" x14ac:dyDescent="0.3">
      <c r="A77" s="10" t="s">
        <v>102</v>
      </c>
      <c r="C77" s="157"/>
      <c r="E77" s="164"/>
      <c r="F77" s="165"/>
      <c r="G77" s="166"/>
      <c r="H77" s="163"/>
      <c r="I77" s="163"/>
      <c r="M77" s="9"/>
      <c r="Q77" s="104"/>
    </row>
    <row r="78" spans="1:29" x14ac:dyDescent="0.3">
      <c r="A78" s="10" t="s">
        <v>103</v>
      </c>
      <c r="C78" s="157"/>
      <c r="E78" s="164"/>
      <c r="F78" s="165"/>
      <c r="G78" s="165"/>
      <c r="H78" s="163"/>
      <c r="I78" s="163"/>
      <c r="M78" s="9"/>
    </row>
    <row r="79" spans="1:29" x14ac:dyDescent="0.3">
      <c r="A79" s="10" t="s">
        <v>104</v>
      </c>
      <c r="C79" s="157"/>
      <c r="F79" s="104"/>
      <c r="G79" s="104"/>
      <c r="H79" s="104"/>
      <c r="I79" s="104"/>
      <c r="K79" s="37"/>
      <c r="M79" s="9"/>
    </row>
    <row r="80" spans="1:29" x14ac:dyDescent="0.3">
      <c r="A80" s="10" t="s">
        <v>105</v>
      </c>
      <c r="C80" s="157"/>
      <c r="F80" s="104"/>
      <c r="G80" s="104"/>
      <c r="M80" s="9"/>
    </row>
    <row r="81" spans="1:13" x14ac:dyDescent="0.3">
      <c r="A81" s="10" t="s">
        <v>106</v>
      </c>
      <c r="F81" s="168"/>
      <c r="G81" s="51"/>
      <c r="H81" s="104"/>
      <c r="I81" s="104"/>
      <c r="M81" s="9"/>
    </row>
    <row r="82" spans="1:13" x14ac:dyDescent="0.3">
      <c r="A82" s="10" t="s">
        <v>107</v>
      </c>
      <c r="G82" s="104"/>
      <c r="H82" s="104"/>
      <c r="I82" s="104"/>
      <c r="K82" s="9"/>
      <c r="M82" s="9"/>
    </row>
    <row r="83" spans="1:13" x14ac:dyDescent="0.3">
      <c r="A83" s="10" t="s">
        <v>108</v>
      </c>
      <c r="G83" s="9"/>
      <c r="H83" s="9"/>
      <c r="I83" s="9"/>
      <c r="K83" s="9"/>
      <c r="M83" s="9"/>
    </row>
    <row r="84" spans="1:13" x14ac:dyDescent="0.3">
      <c r="A84" s="10" t="s">
        <v>109</v>
      </c>
      <c r="G84" s="9"/>
      <c r="H84" s="9"/>
      <c r="I84" s="9"/>
      <c r="K84" s="9"/>
      <c r="M84" s="9"/>
    </row>
    <row r="85" spans="1:13" x14ac:dyDescent="0.3">
      <c r="A85" s="10" t="s">
        <v>110</v>
      </c>
      <c r="G85" s="9"/>
      <c r="H85" s="9"/>
      <c r="I85" s="9"/>
      <c r="M85" s="9"/>
    </row>
    <row r="86" spans="1:13" x14ac:dyDescent="0.3">
      <c r="A86" s="10" t="s">
        <v>111</v>
      </c>
      <c r="G86" s="9"/>
      <c r="H86" s="9"/>
      <c r="I86" s="9"/>
      <c r="M86" s="9"/>
    </row>
    <row r="87" spans="1:13" x14ac:dyDescent="0.3">
      <c r="A87" s="10" t="s">
        <v>112</v>
      </c>
      <c r="G87" s="9"/>
      <c r="H87" s="9"/>
      <c r="I87" s="9"/>
    </row>
    <row r="88" spans="1:13" x14ac:dyDescent="0.3">
      <c r="A88" s="10" t="s">
        <v>113</v>
      </c>
      <c r="G88" s="9"/>
      <c r="H88" s="9"/>
      <c r="I88" s="9"/>
    </row>
    <row r="89" spans="1:13" x14ac:dyDescent="0.3">
      <c r="A89" s="10" t="s">
        <v>114</v>
      </c>
      <c r="G89" s="9"/>
      <c r="H89" s="9"/>
      <c r="I89" s="9"/>
    </row>
    <row r="90" spans="1:13" x14ac:dyDescent="0.3">
      <c r="A90" s="10" t="s">
        <v>115</v>
      </c>
      <c r="G90" s="9"/>
      <c r="H90" s="9"/>
      <c r="I90" s="9"/>
    </row>
    <row r="91" spans="1:13" x14ac:dyDescent="0.3">
      <c r="A91" s="10" t="s">
        <v>116</v>
      </c>
      <c r="G91" s="9"/>
      <c r="H91" s="9"/>
      <c r="I91" s="9"/>
    </row>
    <row r="92" spans="1:13" x14ac:dyDescent="0.3">
      <c r="A92" s="10" t="s">
        <v>117</v>
      </c>
      <c r="G92" s="9"/>
      <c r="H92" s="9"/>
      <c r="I92" s="9"/>
    </row>
    <row r="93" spans="1:13" x14ac:dyDescent="0.3">
      <c r="A93" s="10" t="s">
        <v>118</v>
      </c>
      <c r="G93" s="9"/>
      <c r="H93" s="9"/>
      <c r="I93" s="9"/>
    </row>
    <row r="94" spans="1:13" x14ac:dyDescent="0.3">
      <c r="A94" s="10" t="s">
        <v>119</v>
      </c>
      <c r="G94" s="9"/>
      <c r="H94" s="9"/>
      <c r="I94" s="9"/>
    </row>
    <row r="95" spans="1:13" x14ac:dyDescent="0.3">
      <c r="A95" s="10" t="s">
        <v>120</v>
      </c>
      <c r="G95" s="9"/>
      <c r="H95" s="9"/>
      <c r="I95" s="9"/>
    </row>
    <row r="96" spans="1:13" x14ac:dyDescent="0.3">
      <c r="A96" s="10" t="s">
        <v>121</v>
      </c>
      <c r="G96" s="9"/>
      <c r="H96" s="9"/>
      <c r="I96" s="9"/>
    </row>
    <row r="97" spans="1:9" x14ac:dyDescent="0.3">
      <c r="A97" s="10" t="s">
        <v>122</v>
      </c>
      <c r="G97" s="9"/>
      <c r="H97" s="9"/>
      <c r="I97" s="9"/>
    </row>
    <row r="98" spans="1:9" x14ac:dyDescent="0.3"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9:9" x14ac:dyDescent="0.3">
      <c r="I113" s="9"/>
    </row>
    <row r="114" spans="9:9" x14ac:dyDescent="0.3">
      <c r="I114" s="9"/>
    </row>
    <row r="115" spans="9:9" x14ac:dyDescent="0.3">
      <c r="I115" s="9"/>
    </row>
    <row r="116" spans="9:9" x14ac:dyDescent="0.3">
      <c r="I116" s="9"/>
    </row>
  </sheetData>
  <mergeCells count="13">
    <mergeCell ref="D63:E63"/>
    <mergeCell ref="F50:F51"/>
    <mergeCell ref="G50:H51"/>
    <mergeCell ref="F52:H52"/>
    <mergeCell ref="F57:H57"/>
    <mergeCell ref="X59:Z59"/>
    <mergeCell ref="F62:H62"/>
    <mergeCell ref="F1:G1"/>
    <mergeCell ref="F4:H18"/>
    <mergeCell ref="I4:K18"/>
    <mergeCell ref="F24:G24"/>
    <mergeCell ref="F27:G27"/>
    <mergeCell ref="AA49:A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6"/>
  <sheetViews>
    <sheetView zoomScale="55" zoomScaleNormal="55" workbookViewId="0">
      <selection activeCell="K29" sqref="K29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2"/>
      <c r="C1" s="3"/>
      <c r="D1" s="1" t="s">
        <v>1</v>
      </c>
      <c r="E1" s="4"/>
      <c r="F1" s="5" t="s">
        <v>2</v>
      </c>
      <c r="G1" s="6"/>
      <c r="H1" s="7"/>
      <c r="I1" s="8">
        <v>28981759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2"/>
      <c r="C2" s="13"/>
      <c r="D2" s="11" t="s">
        <v>123</v>
      </c>
      <c r="E2" s="14">
        <v>1500000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2">
        <v>46035</v>
      </c>
      <c r="C3" s="13"/>
      <c r="D3" s="11" t="s">
        <v>124</v>
      </c>
      <c r="E3" s="14">
        <v>107000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2">
        <v>544250</v>
      </c>
      <c r="C4" s="13"/>
      <c r="D4" s="11"/>
      <c r="E4" s="14"/>
      <c r="F4" s="15" t="s">
        <v>9</v>
      </c>
      <c r="G4" s="15"/>
      <c r="H4" s="16"/>
      <c r="I4" s="17">
        <f>B46-E2-E4-E5-E6-E7-E8-E9-E10-E3-E96</f>
        <v>27493446.440000001</v>
      </c>
      <c r="J4" s="15"/>
      <c r="K4" s="16"/>
      <c r="L4" s="9"/>
    </row>
    <row r="5" spans="1:30" x14ac:dyDescent="0.3">
      <c r="A5" s="11" t="s">
        <v>10</v>
      </c>
      <c r="B5" s="18">
        <v>7600</v>
      </c>
      <c r="C5" s="13"/>
      <c r="D5" s="19"/>
      <c r="E5" s="20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25"/>
      <c r="C6" s="13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25">
        <v>8400</v>
      </c>
      <c r="C7" s="13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25">
        <v>169000</v>
      </c>
      <c r="C8" s="13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25">
        <v>2000</v>
      </c>
      <c r="C9" s="13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25"/>
      <c r="C10" s="30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25"/>
      <c r="C11" s="30"/>
      <c r="D11" s="11" t="s">
        <v>17</v>
      </c>
      <c r="E11" s="14">
        <v>746100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B12" s="33"/>
      <c r="C12" s="30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36">
        <v>490000</v>
      </c>
      <c r="C13" s="30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38"/>
      <c r="C14" s="30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40"/>
      <c r="C15" s="30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41" t="s">
        <v>125</v>
      </c>
      <c r="B16" s="41">
        <v>8000000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43" t="s">
        <v>20</v>
      </c>
      <c r="B17" s="43">
        <v>4981000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43" t="s">
        <v>21</v>
      </c>
      <c r="B18" s="43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43" t="s">
        <v>22</v>
      </c>
      <c r="B19" s="43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/>
      <c r="N19" s="9"/>
      <c r="V19" s="29"/>
      <c r="AC19" s="29"/>
    </row>
    <row r="20" spans="1:29" x14ac:dyDescent="0.3">
      <c r="A20" s="49" t="s">
        <v>23</v>
      </c>
      <c r="B20" s="43">
        <v>314000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49" t="s">
        <v>24</v>
      </c>
      <c r="B21" s="43">
        <v>3350000</v>
      </c>
      <c r="C21" s="42"/>
      <c r="D21" s="26"/>
      <c r="E21" s="50"/>
      <c r="F21" s="51"/>
      <c r="G21" s="51"/>
      <c r="H21" s="51"/>
      <c r="I21" s="9"/>
      <c r="J21" s="9"/>
      <c r="K21" s="9"/>
      <c r="L21" s="9"/>
      <c r="M21" s="9"/>
      <c r="N21" s="9"/>
      <c r="V21" s="29"/>
    </row>
    <row r="22" spans="1:29" x14ac:dyDescent="0.3">
      <c r="A22" s="49" t="s">
        <v>25</v>
      </c>
      <c r="B22" s="43">
        <v>75000</v>
      </c>
      <c r="C22" s="42"/>
      <c r="D22" s="52" t="s">
        <v>26</v>
      </c>
      <c r="E22" s="53"/>
      <c r="F22" s="9"/>
      <c r="G22" s="33"/>
      <c r="H22" s="9"/>
      <c r="I22" s="9"/>
      <c r="J22" s="9"/>
      <c r="K22" s="9"/>
      <c r="L22" s="9"/>
      <c r="M22" s="9"/>
      <c r="N22" s="9"/>
      <c r="O22" s="9"/>
      <c r="V22" s="29"/>
    </row>
    <row r="23" spans="1:29" ht="15" thickBot="1" x14ac:dyDescent="0.35">
      <c r="A23" s="43" t="s">
        <v>27</v>
      </c>
      <c r="B23" s="43">
        <v>20000</v>
      </c>
      <c r="C23" s="42"/>
      <c r="D23" s="54" t="s">
        <v>26</v>
      </c>
      <c r="E23" s="14"/>
      <c r="F23" s="9"/>
      <c r="G23" s="9"/>
      <c r="H23" s="9"/>
      <c r="I23" s="9"/>
      <c r="J23" s="9"/>
      <c r="K23" s="9"/>
      <c r="L23" s="37"/>
      <c r="M23" s="9"/>
      <c r="N23" s="9"/>
      <c r="O23" s="9"/>
      <c r="V23" s="29"/>
    </row>
    <row r="24" spans="1:29" ht="15" thickBot="1" x14ac:dyDescent="0.35">
      <c r="A24" s="49" t="s">
        <v>28</v>
      </c>
      <c r="B24" s="43">
        <v>570000</v>
      </c>
      <c r="C24" s="42"/>
      <c r="D24" s="26" t="s">
        <v>126</v>
      </c>
      <c r="E24" s="35">
        <v>400000</v>
      </c>
      <c r="F24" s="55" t="s">
        <v>30</v>
      </c>
      <c r="G24" s="56"/>
      <c r="H24" s="57"/>
      <c r="I24" s="58">
        <f>I1+B61-E61</f>
        <v>27493589</v>
      </c>
      <c r="J24" s="57"/>
      <c r="K24" s="37"/>
      <c r="L24" s="9"/>
      <c r="M24" s="9"/>
      <c r="N24" s="9"/>
      <c r="O24" s="9"/>
      <c r="V24" s="29"/>
    </row>
    <row r="25" spans="1:29" x14ac:dyDescent="0.3">
      <c r="A25" s="49" t="s">
        <v>31</v>
      </c>
      <c r="B25" s="43">
        <v>1151000</v>
      </c>
      <c r="C25" s="42"/>
      <c r="D25" s="26" t="s">
        <v>127</v>
      </c>
      <c r="E25" s="59">
        <v>20000</v>
      </c>
      <c r="F25" s="57"/>
      <c r="G25" s="57"/>
      <c r="H25" s="57"/>
      <c r="I25" s="57"/>
      <c r="J25" s="57"/>
      <c r="K25" s="37"/>
      <c r="L25" s="9"/>
      <c r="M25" s="9">
        <v>27493246.440000001</v>
      </c>
      <c r="N25" s="9"/>
      <c r="O25" s="9"/>
      <c r="V25" s="29"/>
      <c r="Z25" s="60"/>
      <c r="AA25" s="60"/>
      <c r="AB25" s="60"/>
    </row>
    <row r="26" spans="1:29" ht="15" thickBot="1" x14ac:dyDescent="0.35">
      <c r="A26" s="49" t="s">
        <v>33</v>
      </c>
      <c r="B26" s="43">
        <v>52000</v>
      </c>
      <c r="C26" s="42"/>
      <c r="D26" s="26" t="s">
        <v>128</v>
      </c>
      <c r="E26" s="61">
        <v>220000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49" t="s">
        <v>35</v>
      </c>
      <c r="B27" s="43">
        <v>161000</v>
      </c>
      <c r="C27" s="42"/>
      <c r="D27" s="62" t="s">
        <v>129</v>
      </c>
      <c r="E27" s="63">
        <v>70000</v>
      </c>
      <c r="F27" s="64" t="s">
        <v>37</v>
      </c>
      <c r="G27" s="65"/>
      <c r="H27" s="66"/>
      <c r="I27" s="8">
        <f>I24-I4</f>
        <v>142.5599999986589</v>
      </c>
      <c r="J27" s="66"/>
      <c r="K27" s="9"/>
      <c r="L27" s="9"/>
      <c r="M27" s="9"/>
      <c r="N27" s="9"/>
      <c r="O27" s="9"/>
      <c r="V27" s="29"/>
      <c r="Z27" s="60"/>
      <c r="AA27" s="60"/>
      <c r="AB27" s="60"/>
    </row>
    <row r="28" spans="1:29" x14ac:dyDescent="0.3">
      <c r="A28" s="49" t="s">
        <v>38</v>
      </c>
      <c r="B28" s="43">
        <v>50000</v>
      </c>
      <c r="C28" s="42"/>
      <c r="D28" s="26" t="s">
        <v>130</v>
      </c>
      <c r="E28" s="61">
        <v>75000</v>
      </c>
      <c r="F28" s="67"/>
      <c r="G28" s="67"/>
      <c r="H28" s="66"/>
      <c r="I28" s="68"/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49" t="s">
        <v>40</v>
      </c>
      <c r="B29" s="43">
        <v>150000</v>
      </c>
      <c r="C29" s="42"/>
      <c r="D29" s="26"/>
      <c r="E29" s="61"/>
      <c r="F29" s="67"/>
      <c r="G29" s="68"/>
      <c r="H29" s="9"/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ht="15" thickBot="1" x14ac:dyDescent="0.35">
      <c r="A30" s="49" t="s">
        <v>42</v>
      </c>
      <c r="B30" s="43">
        <v>150000</v>
      </c>
      <c r="C30" s="42"/>
      <c r="D30" s="26"/>
      <c r="E30" s="61"/>
      <c r="F30" s="66" t="s">
        <v>14</v>
      </c>
      <c r="G30" s="66"/>
      <c r="H30" s="66"/>
      <c r="K30" s="66"/>
      <c r="L30" s="9"/>
      <c r="M30" s="9"/>
      <c r="N30" s="9"/>
      <c r="O30" s="9"/>
      <c r="V30" s="29"/>
      <c r="Z30" s="60"/>
      <c r="AA30" s="60"/>
      <c r="AB30" s="60"/>
    </row>
    <row r="31" spans="1:29" ht="15" thickBot="1" x14ac:dyDescent="0.35">
      <c r="A31" s="69" t="s">
        <v>44</v>
      </c>
      <c r="B31" s="70">
        <v>191786</v>
      </c>
      <c r="C31" s="42"/>
      <c r="D31" s="26"/>
      <c r="E31" s="61"/>
      <c r="F31" s="71" t="s">
        <v>46</v>
      </c>
      <c r="G31" s="72" t="s">
        <v>47</v>
      </c>
      <c r="H31" s="73" t="s">
        <v>48</v>
      </c>
      <c r="I31" s="74" t="s">
        <v>49</v>
      </c>
      <c r="J31" s="75"/>
      <c r="L31" s="9"/>
      <c r="M31" s="9"/>
      <c r="N31" s="9"/>
      <c r="O31" s="9"/>
      <c r="Z31" s="60"/>
      <c r="AA31" s="60"/>
      <c r="AB31" s="60"/>
    </row>
    <row r="32" spans="1:29" ht="15" thickBot="1" x14ac:dyDescent="0.35">
      <c r="A32" s="49" t="s">
        <v>50</v>
      </c>
      <c r="B32" s="43">
        <v>200716.85</v>
      </c>
      <c r="C32" s="42"/>
      <c r="D32" s="76"/>
      <c r="E32" s="77"/>
      <c r="F32" s="78" t="s">
        <v>51</v>
      </c>
      <c r="G32" s="43">
        <v>935500</v>
      </c>
      <c r="H32" s="61">
        <f>G32/100*94.6-B38</f>
        <v>-19739.04999999993</v>
      </c>
      <c r="I32" s="79"/>
      <c r="J32" s="80"/>
      <c r="L32" s="9"/>
      <c r="M32" s="9"/>
      <c r="N32" s="9"/>
      <c r="O32" s="9"/>
      <c r="Z32" s="60"/>
      <c r="AA32" s="60"/>
      <c r="AB32" s="60"/>
    </row>
    <row r="33" spans="1:28" x14ac:dyDescent="0.3">
      <c r="A33" s="49" t="s">
        <v>52</v>
      </c>
      <c r="B33" s="43">
        <v>450000</v>
      </c>
      <c r="C33" s="42"/>
      <c r="D33" s="26"/>
      <c r="E33" s="61"/>
      <c r="F33" s="81" t="s">
        <v>53</v>
      </c>
      <c r="G33" s="43"/>
      <c r="H33" s="61">
        <f>G33/100*94-B39</f>
        <v>0</v>
      </c>
      <c r="I33" s="79"/>
      <c r="J33" s="80"/>
      <c r="L33" s="9"/>
      <c r="M33" s="9"/>
      <c r="N33" s="9"/>
      <c r="O33" s="9"/>
      <c r="Z33" s="60"/>
      <c r="AA33" s="60"/>
      <c r="AB33" s="60"/>
    </row>
    <row r="34" spans="1:28" x14ac:dyDescent="0.3">
      <c r="A34" s="49" t="s">
        <v>54</v>
      </c>
      <c r="B34" s="43">
        <v>5000000</v>
      </c>
      <c r="C34" s="42"/>
      <c r="D34" s="26"/>
      <c r="E34" s="61"/>
      <c r="F34" s="78" t="s">
        <v>11</v>
      </c>
      <c r="G34" s="43">
        <v>710670</v>
      </c>
      <c r="H34" s="61">
        <f>G34/100*94.5-B40</f>
        <v>-12081.390000000014</v>
      </c>
      <c r="I34" s="82" t="s">
        <v>55</v>
      </c>
      <c r="J34" s="83">
        <v>42000</v>
      </c>
      <c r="L34" s="9"/>
      <c r="M34" s="9"/>
      <c r="N34" s="9"/>
      <c r="O34" s="9"/>
      <c r="Z34" s="60"/>
      <c r="AA34" s="60"/>
      <c r="AB34" s="60"/>
    </row>
    <row r="35" spans="1:28" x14ac:dyDescent="0.3">
      <c r="A35" s="49" t="s">
        <v>131</v>
      </c>
      <c r="B35" s="43">
        <v>190000</v>
      </c>
      <c r="C35" s="42"/>
      <c r="D35" s="84"/>
      <c r="E35" s="61"/>
      <c r="F35" s="78" t="s">
        <v>57</v>
      </c>
      <c r="G35" s="43">
        <v>220000</v>
      </c>
      <c r="H35" s="61">
        <f>G35/100*94.5-B41</f>
        <v>-3872</v>
      </c>
      <c r="I35" s="82" t="s">
        <v>58</v>
      </c>
      <c r="J35" s="83">
        <v>45000</v>
      </c>
      <c r="L35" s="9"/>
      <c r="M35" s="9"/>
      <c r="N35" s="9"/>
      <c r="O35" s="9"/>
      <c r="P35" s="9"/>
      <c r="Z35" s="60"/>
      <c r="AA35" s="60"/>
      <c r="AB35" s="60"/>
    </row>
    <row r="36" spans="1:28" x14ac:dyDescent="0.3">
      <c r="A36" s="49" t="s">
        <v>59</v>
      </c>
      <c r="B36" s="43">
        <v>456500</v>
      </c>
      <c r="C36" s="42"/>
      <c r="D36" s="62"/>
      <c r="E36" s="61"/>
      <c r="F36" s="81" t="s">
        <v>60</v>
      </c>
      <c r="G36" s="85"/>
      <c r="H36" s="86">
        <f>G36/100*95.5-B42</f>
        <v>0</v>
      </c>
      <c r="I36" s="10" t="s">
        <v>61</v>
      </c>
      <c r="J36" s="83">
        <v>406000</v>
      </c>
      <c r="L36" s="87"/>
      <c r="M36" s="9"/>
      <c r="N36" s="9"/>
      <c r="Z36" s="60"/>
      <c r="AA36" s="60"/>
      <c r="AB36" s="60"/>
    </row>
    <row r="37" spans="1:28" x14ac:dyDescent="0.3">
      <c r="A37" s="39" t="s">
        <v>62</v>
      </c>
      <c r="B37" s="12"/>
      <c r="C37" s="30"/>
      <c r="D37" s="26"/>
      <c r="E37" s="35"/>
      <c r="F37" s="81" t="s">
        <v>63</v>
      </c>
      <c r="G37" s="43"/>
      <c r="H37" s="61">
        <f>G37/100*94.5-B44</f>
        <v>0</v>
      </c>
      <c r="I37" s="10" t="s">
        <v>64</v>
      </c>
      <c r="J37" s="83">
        <v>580000</v>
      </c>
      <c r="L37" s="87"/>
      <c r="M37" s="9"/>
      <c r="N37" s="9"/>
      <c r="Z37" s="60"/>
      <c r="AA37" s="60"/>
      <c r="AB37" s="60"/>
    </row>
    <row r="38" spans="1:28" x14ac:dyDescent="0.3">
      <c r="A38" s="11" t="s">
        <v>65</v>
      </c>
      <c r="B38" s="12">
        <f>G32/100*96.71</f>
        <v>904722.04999999993</v>
      </c>
      <c r="C38" s="30"/>
      <c r="D38" s="26"/>
      <c r="E38" s="61"/>
      <c r="F38" s="81" t="s">
        <v>66</v>
      </c>
      <c r="G38" s="43"/>
      <c r="H38" s="61">
        <f>G38/100*94.5-B43</f>
        <v>0</v>
      </c>
      <c r="I38" s="10" t="s">
        <v>67</v>
      </c>
      <c r="J38" s="88">
        <v>8000</v>
      </c>
      <c r="L38" s="89"/>
      <c r="M38" s="9"/>
      <c r="N38" s="9"/>
      <c r="Z38" s="60"/>
      <c r="AA38" s="60"/>
      <c r="AB38" s="60"/>
    </row>
    <row r="39" spans="1:28" x14ac:dyDescent="0.3">
      <c r="A39" s="11" t="s">
        <v>68</v>
      </c>
      <c r="B39" s="12">
        <f>G33/100*96.26</f>
        <v>0</v>
      </c>
      <c r="C39" s="30"/>
      <c r="D39" s="26"/>
      <c r="E39" s="61"/>
      <c r="F39" s="81" t="s">
        <v>69</v>
      </c>
      <c r="G39" s="43"/>
      <c r="H39" s="90">
        <f>G39/100*95-B45</f>
        <v>0</v>
      </c>
      <c r="I39" s="10" t="s">
        <v>70</v>
      </c>
      <c r="J39" s="88">
        <v>114000</v>
      </c>
      <c r="K39" s="9"/>
      <c r="L39" s="89"/>
      <c r="M39" s="9"/>
      <c r="N39" s="9"/>
      <c r="Z39" s="60"/>
      <c r="AA39" s="60"/>
      <c r="AB39" s="60"/>
    </row>
    <row r="40" spans="1:28" x14ac:dyDescent="0.3">
      <c r="A40" s="11" t="s">
        <v>11</v>
      </c>
      <c r="B40" s="12">
        <f>G34/100*96.2</f>
        <v>683664.54</v>
      </c>
      <c r="C40" s="30"/>
      <c r="D40" s="26"/>
      <c r="E40" s="61"/>
      <c r="F40" s="81"/>
      <c r="G40" s="43"/>
      <c r="H40" s="91"/>
      <c r="I40" s="10" t="s">
        <v>71</v>
      </c>
      <c r="J40" s="88">
        <v>90000</v>
      </c>
      <c r="L40" s="9"/>
      <c r="M40" s="9"/>
      <c r="N40" s="9"/>
      <c r="Z40" s="60"/>
      <c r="AA40" s="60"/>
      <c r="AB40" s="60"/>
    </row>
    <row r="41" spans="1:28" x14ac:dyDescent="0.3">
      <c r="A41" s="11" t="s">
        <v>57</v>
      </c>
      <c r="B41" s="12">
        <f>G35/100*96.26</f>
        <v>211772</v>
      </c>
      <c r="C41" s="30"/>
      <c r="D41" s="26"/>
      <c r="E41" s="61"/>
      <c r="F41" s="81"/>
      <c r="G41" s="49"/>
      <c r="H41" s="91"/>
      <c r="I41" s="10" t="s">
        <v>72</v>
      </c>
      <c r="J41" s="92">
        <v>100000</v>
      </c>
      <c r="L41" s="9"/>
      <c r="M41" s="9"/>
      <c r="N41" s="9"/>
      <c r="Z41" s="60"/>
      <c r="AA41" s="60"/>
      <c r="AB41" s="60"/>
    </row>
    <row r="42" spans="1:28" x14ac:dyDescent="0.3">
      <c r="A42" s="26" t="s">
        <v>73</v>
      </c>
      <c r="B42" s="93">
        <f>G36/100*96.86</f>
        <v>0</v>
      </c>
      <c r="C42" s="30"/>
      <c r="D42" s="26"/>
      <c r="E42" s="61"/>
      <c r="F42" s="81"/>
      <c r="G42" s="49"/>
      <c r="H42" s="91"/>
      <c r="I42" s="82" t="s">
        <v>74</v>
      </c>
      <c r="J42" s="88">
        <v>35000</v>
      </c>
      <c r="L42" s="89"/>
      <c r="M42" s="7"/>
      <c r="N42" s="7"/>
      <c r="Z42" s="60"/>
      <c r="AA42" s="60"/>
      <c r="AB42" s="60"/>
    </row>
    <row r="43" spans="1:28" x14ac:dyDescent="0.3">
      <c r="A43" s="26" t="s">
        <v>66</v>
      </c>
      <c r="B43" s="25">
        <f>G38/100*97.41</f>
        <v>0</v>
      </c>
      <c r="C43" s="30"/>
      <c r="D43" s="26"/>
      <c r="E43" s="61"/>
      <c r="F43" s="94" t="s">
        <v>75</v>
      </c>
      <c r="G43" s="95">
        <f>SUM(G32+G33+G34+G35+G37+G38)</f>
        <v>1866170</v>
      </c>
      <c r="H43" s="96">
        <f>SUM(H32:H42)</f>
        <v>-35692.439999999944</v>
      </c>
      <c r="I43" s="10" t="s">
        <v>76</v>
      </c>
      <c r="J43" s="97">
        <v>30000</v>
      </c>
      <c r="K43" s="9"/>
      <c r="L43" s="9"/>
      <c r="M43" s="9"/>
      <c r="N43" s="9"/>
      <c r="Z43" s="60"/>
      <c r="AA43" s="60"/>
      <c r="AB43" s="60"/>
    </row>
    <row r="44" spans="1:28" x14ac:dyDescent="0.3">
      <c r="A44" s="26" t="s">
        <v>77</v>
      </c>
      <c r="B44" s="25">
        <f>G37/100*96.43</f>
        <v>0</v>
      </c>
      <c r="C44" s="30"/>
      <c r="D44" s="26"/>
      <c r="E44" s="61"/>
      <c r="F44" s="98" t="s">
        <v>78</v>
      </c>
      <c r="G44" s="99" t="s">
        <v>79</v>
      </c>
      <c r="H44" s="100" t="s">
        <v>80</v>
      </c>
      <c r="I44" s="10" t="s">
        <v>81</v>
      </c>
      <c r="J44" s="97">
        <v>150000</v>
      </c>
      <c r="L44" s="9"/>
      <c r="M44" s="9"/>
      <c r="N44" s="9"/>
      <c r="Z44" s="60"/>
      <c r="AA44" s="60"/>
      <c r="AB44" s="60"/>
    </row>
    <row r="45" spans="1:28" x14ac:dyDescent="0.3">
      <c r="A45" s="62" t="s">
        <v>69</v>
      </c>
      <c r="B45" s="25">
        <f>G39/100*97.41</f>
        <v>0</v>
      </c>
      <c r="C45" s="30"/>
      <c r="D45" s="26"/>
      <c r="E45" s="61"/>
      <c r="F45" s="101" t="s">
        <v>44</v>
      </c>
      <c r="G45" s="102">
        <v>482000</v>
      </c>
      <c r="H45" s="103">
        <f>G45/100*96</f>
        <v>462720</v>
      </c>
      <c r="I45" s="104" t="s">
        <v>82</v>
      </c>
      <c r="J45" s="97">
        <v>100000</v>
      </c>
      <c r="L45" s="9"/>
      <c r="M45" s="9"/>
      <c r="N45" s="9"/>
      <c r="Z45" s="60"/>
      <c r="AA45" s="60"/>
      <c r="AB45" s="60"/>
    </row>
    <row r="46" spans="1:28" x14ac:dyDescent="0.3">
      <c r="A46" s="105" t="s">
        <v>83</v>
      </c>
      <c r="B46" s="106">
        <f>SUM(B2:B45)</f>
        <v>29100446.440000001</v>
      </c>
      <c r="C46" s="30"/>
      <c r="D46" s="26"/>
      <c r="E46" s="61"/>
      <c r="F46" s="101" t="s">
        <v>84</v>
      </c>
      <c r="G46" s="107">
        <v>400000</v>
      </c>
      <c r="H46" s="108">
        <f>G46</f>
        <v>400000</v>
      </c>
      <c r="L46" s="89"/>
      <c r="M46" s="9"/>
      <c r="N46" s="9"/>
      <c r="Z46" s="60"/>
      <c r="AA46" s="60"/>
      <c r="AB46" s="60"/>
    </row>
    <row r="47" spans="1:28" x14ac:dyDescent="0.3">
      <c r="A47" s="54" t="s">
        <v>85</v>
      </c>
      <c r="B47" s="12"/>
      <c r="C47" s="30"/>
      <c r="D47" s="26"/>
      <c r="E47" s="61"/>
      <c r="F47" s="109" t="s">
        <v>86</v>
      </c>
      <c r="G47" s="107"/>
      <c r="H47" s="108">
        <f>-G47</f>
        <v>0</v>
      </c>
      <c r="L47" s="9"/>
      <c r="M47" s="9"/>
      <c r="N47" s="110"/>
      <c r="Z47" s="60"/>
      <c r="AA47" s="60"/>
      <c r="AB47" s="60"/>
    </row>
    <row r="48" spans="1:28" x14ac:dyDescent="0.3">
      <c r="A48" s="54" t="s">
        <v>87</v>
      </c>
      <c r="B48" s="12">
        <v>35700</v>
      </c>
      <c r="C48" s="30"/>
      <c r="D48" s="26"/>
      <c r="E48" s="61"/>
      <c r="F48" s="109" t="s">
        <v>88</v>
      </c>
      <c r="G48" s="107">
        <v>-129066</v>
      </c>
      <c r="H48" s="108"/>
      <c r="J48" s="111">
        <f ca="1">SUM(J34:J53)</f>
        <v>1700000</v>
      </c>
      <c r="L48" s="9"/>
      <c r="M48" s="9"/>
      <c r="N48" s="9"/>
      <c r="Z48" s="60"/>
      <c r="AA48" s="60"/>
      <c r="AB48" s="60"/>
    </row>
    <row r="49" spans="1:29" x14ac:dyDescent="0.3">
      <c r="A49" s="112" t="s">
        <v>44</v>
      </c>
      <c r="B49" s="113">
        <f>G45*0.015</f>
        <v>7230</v>
      </c>
      <c r="C49" s="30"/>
      <c r="D49" s="26"/>
      <c r="E49" s="61"/>
      <c r="F49" s="109"/>
      <c r="G49" s="107"/>
      <c r="H49" s="108"/>
      <c r="L49" s="9"/>
      <c r="M49" s="9"/>
      <c r="N49" s="9"/>
      <c r="X49" s="48"/>
      <c r="Y49" s="104"/>
      <c r="Z49" s="114"/>
      <c r="AA49" s="115"/>
      <c r="AB49" s="115"/>
    </row>
    <row r="50" spans="1:29" ht="14.4" customHeight="1" x14ac:dyDescent="0.3">
      <c r="A50" s="26"/>
      <c r="B50" s="25"/>
      <c r="C50" s="30"/>
      <c r="D50" s="26"/>
      <c r="E50" s="61"/>
      <c r="F50" s="116" t="s">
        <v>90</v>
      </c>
      <c r="G50" s="117">
        <f>G46-H45-G47+G48</f>
        <v>-191786</v>
      </c>
      <c r="H50" s="118"/>
      <c r="K50" s="9"/>
      <c r="L50" s="9"/>
      <c r="M50" s="9"/>
      <c r="N50" s="9"/>
      <c r="S50" s="104"/>
      <c r="X50" s="29"/>
      <c r="Y50" s="104"/>
      <c r="Z50" s="104"/>
      <c r="AA50" s="82"/>
      <c r="AB50" s="119"/>
    </row>
    <row r="51" spans="1:29" ht="15" customHeight="1" thickBot="1" x14ac:dyDescent="0.35">
      <c r="A51" s="54"/>
      <c r="B51" s="12"/>
      <c r="C51" s="30"/>
      <c r="D51" s="54"/>
      <c r="E51" s="120"/>
      <c r="F51" s="121"/>
      <c r="G51" s="122"/>
      <c r="H51" s="123"/>
      <c r="K51" s="9"/>
      <c r="L51" s="9"/>
      <c r="M51" s="9"/>
      <c r="N51" s="9"/>
      <c r="S51" s="104"/>
      <c r="Y51" s="104"/>
      <c r="Z51" s="104"/>
      <c r="AA51" s="82"/>
      <c r="AB51" s="119"/>
    </row>
    <row r="52" spans="1:29" ht="14.4" customHeight="1" x14ac:dyDescent="0.3">
      <c r="A52" s="54"/>
      <c r="B52" s="124"/>
      <c r="C52" s="30"/>
      <c r="D52" s="54"/>
      <c r="E52" s="120"/>
      <c r="F52" s="169" t="s">
        <v>132</v>
      </c>
      <c r="G52" s="126"/>
      <c r="H52" s="127"/>
      <c r="I52" s="9"/>
      <c r="J52" s="111"/>
      <c r="K52" s="9"/>
      <c r="L52" s="9"/>
      <c r="M52" s="9"/>
      <c r="N52" s="9"/>
      <c r="S52" s="104"/>
      <c r="X52" s="29"/>
      <c r="Y52" s="104"/>
      <c r="Z52" s="104"/>
      <c r="AB52" s="119"/>
    </row>
    <row r="53" spans="1:29" ht="14.4" customHeight="1" x14ac:dyDescent="0.3">
      <c r="A53" s="54"/>
      <c r="B53" s="12"/>
      <c r="C53" s="30"/>
      <c r="D53" s="54"/>
      <c r="E53" s="120"/>
      <c r="F53" s="170" t="s">
        <v>92</v>
      </c>
      <c r="G53" s="43">
        <v>1890670</v>
      </c>
      <c r="H53" s="61">
        <f>G53/100*94.5</f>
        <v>1786683.1500000001</v>
      </c>
      <c r="I53" s="104"/>
      <c r="J53" s="104"/>
      <c r="K53" s="9"/>
      <c r="L53" s="9"/>
      <c r="M53" s="9"/>
      <c r="N53" s="9"/>
      <c r="P53" s="82"/>
      <c r="Q53" s="82"/>
      <c r="S53" s="9"/>
      <c r="X53" s="29"/>
      <c r="Y53" s="104"/>
      <c r="Z53" s="104"/>
      <c r="AB53" s="119"/>
    </row>
    <row r="54" spans="1:29" x14ac:dyDescent="0.3">
      <c r="A54" s="54"/>
      <c r="B54" s="12"/>
      <c r="C54" s="30"/>
      <c r="D54" s="54"/>
      <c r="E54" s="120"/>
      <c r="F54" s="170" t="s">
        <v>93</v>
      </c>
      <c r="G54" s="43">
        <v>1755100</v>
      </c>
      <c r="H54" s="61">
        <f>-G54</f>
        <v>-1755100</v>
      </c>
      <c r="I54" s="9"/>
      <c r="J54" s="9"/>
      <c r="K54" s="9"/>
      <c r="L54" s="9"/>
      <c r="M54" s="9"/>
      <c r="N54" s="9"/>
      <c r="P54" s="82"/>
      <c r="Q54" s="119"/>
      <c r="S54" s="9"/>
      <c r="X54" s="29"/>
      <c r="Y54" s="104"/>
      <c r="Z54" s="104"/>
      <c r="AB54" s="119"/>
    </row>
    <row r="55" spans="1:29" x14ac:dyDescent="0.3">
      <c r="A55" s="54"/>
      <c r="B55" s="12"/>
      <c r="C55" s="30"/>
      <c r="D55" s="54"/>
      <c r="E55" s="120"/>
      <c r="F55" s="170" t="s">
        <v>94</v>
      </c>
      <c r="G55" s="43">
        <v>-232300</v>
      </c>
      <c r="H55" s="61">
        <f>G55</f>
        <v>-232300</v>
      </c>
      <c r="I55" s="9"/>
      <c r="J55" s="111"/>
      <c r="K55" s="9"/>
      <c r="L55" s="9"/>
      <c r="M55" s="9"/>
      <c r="N55" s="9"/>
      <c r="P55" s="82"/>
      <c r="Q55" s="119"/>
      <c r="S55" s="9"/>
      <c r="Y55" s="104"/>
      <c r="Z55" s="104"/>
      <c r="AB55" s="128"/>
    </row>
    <row r="56" spans="1:29" ht="15" thickBot="1" x14ac:dyDescent="0.35">
      <c r="A56" s="54"/>
      <c r="B56" s="12"/>
      <c r="C56" s="30"/>
      <c r="D56" s="26"/>
      <c r="E56" s="120"/>
      <c r="F56" s="171"/>
      <c r="G56" s="172" t="s">
        <v>90</v>
      </c>
      <c r="H56" s="149">
        <f>SUM(H53:H55)</f>
        <v>-200716.84999999986</v>
      </c>
      <c r="I56" s="51"/>
      <c r="J56" s="129"/>
      <c r="K56" s="9"/>
      <c r="L56" s="9"/>
      <c r="M56" s="9"/>
      <c r="N56" s="9"/>
      <c r="Q56" s="119"/>
      <c r="S56" s="9"/>
      <c r="Y56" s="104"/>
      <c r="Z56" s="104"/>
      <c r="AB56" s="128"/>
      <c r="AC56" s="104"/>
    </row>
    <row r="57" spans="1:29" x14ac:dyDescent="0.3">
      <c r="A57" s="62"/>
      <c r="B57" s="9"/>
      <c r="C57" s="30"/>
      <c r="D57" s="26"/>
      <c r="E57" s="120"/>
      <c r="F57" s="133"/>
      <c r="G57" s="133"/>
      <c r="H57" s="133"/>
      <c r="I57" s="104"/>
      <c r="J57" s="104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54"/>
      <c r="B58" s="12"/>
      <c r="C58" s="30"/>
      <c r="D58" s="26"/>
      <c r="E58" s="120"/>
      <c r="F58" s="104"/>
      <c r="G58" s="104"/>
      <c r="H58" s="104"/>
      <c r="I58" s="104"/>
      <c r="J58" s="104"/>
      <c r="K58" s="9"/>
      <c r="L58" s="9"/>
      <c r="M58" s="9"/>
      <c r="N58" s="9"/>
      <c r="O58" s="9"/>
      <c r="Q58" s="119"/>
      <c r="S58" s="104"/>
      <c r="X58" s="48"/>
      <c r="Y58" s="104"/>
      <c r="Z58" s="104"/>
      <c r="AB58" s="128"/>
      <c r="AC58" s="104"/>
    </row>
    <row r="59" spans="1:29" x14ac:dyDescent="0.3">
      <c r="A59" s="54"/>
      <c r="B59" s="12"/>
      <c r="C59" s="30"/>
      <c r="D59" s="26"/>
      <c r="E59" s="14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28"/>
      <c r="S59" s="104"/>
      <c r="X59" s="133"/>
      <c r="Y59" s="133"/>
      <c r="Z59" s="133"/>
      <c r="AB59" s="128"/>
      <c r="AC59" s="104"/>
    </row>
    <row r="60" spans="1:29" ht="15" thickBot="1" x14ac:dyDescent="0.35">
      <c r="A60" s="27"/>
      <c r="B60" s="134"/>
      <c r="C60" s="30"/>
      <c r="D60" s="135"/>
      <c r="E60" s="173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04"/>
      <c r="Y60" s="104"/>
      <c r="Z60" s="104"/>
      <c r="AB60" s="137"/>
      <c r="AC60" s="104"/>
    </row>
    <row r="61" spans="1:29" ht="15" thickBot="1" x14ac:dyDescent="0.35">
      <c r="A61" s="138" t="s">
        <v>96</v>
      </c>
      <c r="B61" s="139">
        <f>SUM(B48:B60)</f>
        <v>42930</v>
      </c>
      <c r="C61" s="140"/>
      <c r="D61" s="141" t="s">
        <v>16</v>
      </c>
      <c r="E61" s="174">
        <f>SUM(E11:E60)</f>
        <v>1531100</v>
      </c>
      <c r="F61" s="104"/>
      <c r="G61" s="51"/>
      <c r="H61" s="104"/>
      <c r="I61" s="9"/>
      <c r="J61" s="9"/>
      <c r="K61" s="9"/>
      <c r="L61" s="9"/>
      <c r="M61" s="9"/>
      <c r="N61" s="9"/>
      <c r="O61" s="9"/>
      <c r="Q61" s="128"/>
      <c r="X61" s="104"/>
      <c r="Y61" s="104"/>
      <c r="Z61" s="104"/>
      <c r="AA61" s="143"/>
      <c r="AB61" s="144"/>
      <c r="AC61" s="104"/>
    </row>
    <row r="62" spans="1:29" x14ac:dyDescent="0.3">
      <c r="B62" s="10" t="s">
        <v>97</v>
      </c>
      <c r="C62" s="145"/>
      <c r="E62" s="104"/>
      <c r="F62" s="175"/>
      <c r="G62" s="175"/>
      <c r="H62" s="175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B62" s="104"/>
      <c r="AC62" s="104"/>
    </row>
    <row r="63" spans="1:29" x14ac:dyDescent="0.3">
      <c r="C63" s="145"/>
      <c r="D63" s="146"/>
      <c r="E63" s="146"/>
      <c r="F63" s="104"/>
      <c r="G63" s="104"/>
      <c r="H63" s="104"/>
      <c r="I63" s="9"/>
      <c r="J63" s="9"/>
      <c r="K63" s="104"/>
      <c r="L63" s="104"/>
      <c r="M63" s="9"/>
      <c r="N63" s="9"/>
      <c r="O63" s="9"/>
      <c r="Q63" s="128"/>
      <c r="X63" s="104"/>
      <c r="Y63" s="104"/>
      <c r="Z63" s="104"/>
      <c r="AC63" s="104"/>
    </row>
    <row r="64" spans="1:29" x14ac:dyDescent="0.3">
      <c r="C64" s="145"/>
      <c r="E64" s="128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37"/>
      <c r="X64" s="104"/>
      <c r="Y64" s="51"/>
      <c r="Z64" s="104"/>
      <c r="AB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104"/>
      <c r="K65" s="104"/>
      <c r="L65" s="104"/>
      <c r="M65" s="9"/>
      <c r="N65" s="9"/>
      <c r="O65" s="9"/>
      <c r="P65" s="143"/>
      <c r="Q65" s="144"/>
      <c r="X65" s="150"/>
      <c r="Y65" s="150"/>
      <c r="Z65" s="150"/>
      <c r="AB65" s="104"/>
      <c r="AC65" s="104"/>
    </row>
    <row r="66" spans="1:29" x14ac:dyDescent="0.3">
      <c r="C66" s="151"/>
      <c r="E66" s="128"/>
      <c r="F66" s="104"/>
      <c r="G66" s="51"/>
      <c r="H66" s="104"/>
      <c r="I66" s="9"/>
      <c r="J66" s="104"/>
      <c r="K66" s="37"/>
      <c r="L66" s="104"/>
      <c r="M66" s="9"/>
      <c r="N66" s="9"/>
      <c r="O66" s="9"/>
      <c r="Q66" s="104"/>
      <c r="X66" s="104"/>
      <c r="Y66" s="104"/>
      <c r="Z66" s="104"/>
      <c r="AB66" s="104"/>
      <c r="AC66" s="104"/>
    </row>
    <row r="67" spans="1:29" x14ac:dyDescent="0.3">
      <c r="C67" s="151"/>
      <c r="E67" s="128"/>
      <c r="F67" s="154"/>
      <c r="G67" s="104"/>
      <c r="I67" s="104"/>
      <c r="J67" s="104"/>
      <c r="K67" s="9"/>
      <c r="L67" s="104"/>
      <c r="M67" s="9"/>
      <c r="N67" s="9"/>
      <c r="O67" s="9"/>
      <c r="X67" s="104"/>
      <c r="Y67" s="104"/>
      <c r="Z67" s="104"/>
      <c r="AB67" s="104"/>
      <c r="AC67" s="104"/>
    </row>
    <row r="68" spans="1:29" x14ac:dyDescent="0.3">
      <c r="C68" s="151"/>
      <c r="D68" s="104"/>
      <c r="E68" s="128"/>
      <c r="F68" s="154"/>
      <c r="G68" s="104"/>
      <c r="H68" s="104"/>
      <c r="I68" s="104"/>
      <c r="J68" s="9"/>
      <c r="K68" s="104"/>
      <c r="L68" s="104"/>
      <c r="M68" s="9"/>
      <c r="N68" s="9"/>
      <c r="O68" s="9"/>
      <c r="Q68" s="104"/>
      <c r="X68" s="104"/>
      <c r="Y68" s="104"/>
      <c r="Z68" s="104"/>
      <c r="AA68" s="104"/>
      <c r="AB68" s="104"/>
      <c r="AC68" s="104"/>
    </row>
    <row r="69" spans="1:29" x14ac:dyDescent="0.3">
      <c r="C69" s="151"/>
      <c r="E69" s="128"/>
      <c r="F69" s="154"/>
      <c r="G69" s="9"/>
      <c r="H69" s="9"/>
      <c r="I69" s="104"/>
      <c r="J69" s="9"/>
      <c r="K69" s="9"/>
      <c r="L69" s="9"/>
      <c r="M69" s="9"/>
      <c r="N69" s="9"/>
      <c r="O69" s="155"/>
      <c r="Q69" s="104"/>
      <c r="X69" s="104"/>
      <c r="Y69" s="104"/>
      <c r="Z69" s="104"/>
      <c r="AC69" s="104"/>
    </row>
    <row r="70" spans="1:29" x14ac:dyDescent="0.3">
      <c r="C70" s="151"/>
      <c r="E70" s="128"/>
      <c r="F70" s="154"/>
      <c r="G70" s="154"/>
      <c r="H70" s="104"/>
      <c r="I70" s="9"/>
      <c r="J70" s="9"/>
      <c r="K70" s="9"/>
      <c r="L70" s="9"/>
      <c r="M70" s="9"/>
      <c r="N70" s="9"/>
      <c r="Q70" s="104"/>
      <c r="X70" s="104"/>
      <c r="Y70" s="51"/>
      <c r="Z70" s="104"/>
      <c r="AC70" s="104"/>
    </row>
    <row r="71" spans="1:29" x14ac:dyDescent="0.3">
      <c r="C71" s="151"/>
      <c r="E71" s="128"/>
      <c r="F71" s="156"/>
      <c r="G71" s="154"/>
      <c r="H71" s="104"/>
      <c r="I71" s="9"/>
      <c r="J71" s="9"/>
      <c r="K71" s="9"/>
      <c r="L71" s="9"/>
      <c r="M71" s="9"/>
      <c r="N71" s="9"/>
      <c r="Q71" s="104"/>
      <c r="X71" s="104"/>
      <c r="AC71" s="104"/>
    </row>
    <row r="72" spans="1:29" x14ac:dyDescent="0.3">
      <c r="C72" s="151"/>
      <c r="E72" s="128"/>
      <c r="F72" s="104"/>
      <c r="G72" s="154"/>
      <c r="H72" s="9"/>
      <c r="I72" s="104"/>
      <c r="J72" s="37"/>
      <c r="K72" s="9"/>
      <c r="L72" s="9"/>
      <c r="M72" s="9"/>
      <c r="O72" s="37"/>
      <c r="P72" s="104"/>
      <c r="Q72" s="104"/>
      <c r="X72" s="114"/>
    </row>
    <row r="73" spans="1:29" x14ac:dyDescent="0.3">
      <c r="C73" s="157"/>
      <c r="E73" s="128"/>
      <c r="F73" s="9"/>
      <c r="G73" s="158"/>
      <c r="H73" s="9"/>
      <c r="I73" s="104"/>
      <c r="J73" s="37"/>
      <c r="K73" s="9"/>
      <c r="L73" s="9"/>
      <c r="M73" s="9"/>
      <c r="X73" s="114"/>
      <c r="Y73" s="104"/>
      <c r="Z73" s="104"/>
      <c r="AB73" s="104"/>
    </row>
    <row r="74" spans="1:29" x14ac:dyDescent="0.3">
      <c r="A74" s="10" t="s">
        <v>99</v>
      </c>
      <c r="C74" s="157"/>
      <c r="E74" s="159"/>
      <c r="F74" s="104"/>
      <c r="G74" s="104"/>
      <c r="H74" s="104"/>
      <c r="I74" s="104"/>
      <c r="K74" s="9"/>
      <c r="L74" s="9"/>
      <c r="M74" s="9"/>
      <c r="N74" s="37"/>
      <c r="O74" s="37"/>
      <c r="X74" s="114"/>
      <c r="Y74" s="104"/>
      <c r="Z74" s="104"/>
    </row>
    <row r="75" spans="1:29" x14ac:dyDescent="0.3">
      <c r="A75" s="10" t="s">
        <v>100</v>
      </c>
      <c r="C75" s="157"/>
      <c r="E75" s="160"/>
      <c r="F75" s="161"/>
      <c r="G75" s="162"/>
      <c r="H75" s="163"/>
      <c r="I75" s="163"/>
      <c r="K75" s="9"/>
      <c r="L75" s="37"/>
      <c r="M75" s="9"/>
      <c r="X75" s="114"/>
      <c r="Y75" s="104"/>
      <c r="Z75" s="104"/>
    </row>
    <row r="76" spans="1:29" x14ac:dyDescent="0.3">
      <c r="A76" s="10" t="s">
        <v>101</v>
      </c>
      <c r="C76" s="157"/>
      <c r="E76" s="164"/>
      <c r="F76" s="161"/>
      <c r="G76" s="162"/>
      <c r="H76" s="163"/>
      <c r="I76" s="163"/>
      <c r="K76" s="37"/>
      <c r="L76" s="37"/>
      <c r="M76" s="9"/>
      <c r="X76" s="114"/>
      <c r="Y76" s="104"/>
      <c r="Z76" s="104"/>
    </row>
    <row r="77" spans="1:29" x14ac:dyDescent="0.3">
      <c r="A77" s="10" t="s">
        <v>102</v>
      </c>
      <c r="C77" s="157"/>
      <c r="E77" s="164"/>
      <c r="F77" s="165"/>
      <c r="G77" s="166"/>
      <c r="H77" s="163"/>
      <c r="I77" s="163"/>
      <c r="M77" s="9"/>
      <c r="Q77" s="104"/>
    </row>
    <row r="78" spans="1:29" x14ac:dyDescent="0.3">
      <c r="A78" s="10" t="s">
        <v>103</v>
      </c>
      <c r="C78" s="157"/>
      <c r="E78" s="164"/>
      <c r="F78" s="165"/>
      <c r="G78" s="165"/>
      <c r="H78" s="163"/>
      <c r="I78" s="163"/>
      <c r="M78" s="9"/>
    </row>
    <row r="79" spans="1:29" x14ac:dyDescent="0.3">
      <c r="A79" s="10" t="s">
        <v>104</v>
      </c>
      <c r="C79" s="157"/>
      <c r="F79" s="104"/>
      <c r="G79" s="104"/>
      <c r="H79" s="104"/>
      <c r="I79" s="104"/>
      <c r="K79" s="37"/>
      <c r="M79" s="9"/>
    </row>
    <row r="80" spans="1:29" x14ac:dyDescent="0.3">
      <c r="A80" s="10" t="s">
        <v>105</v>
      </c>
      <c r="C80" s="157"/>
      <c r="F80" s="104"/>
      <c r="G80" s="104"/>
      <c r="M80" s="9"/>
    </row>
    <row r="81" spans="1:13" x14ac:dyDescent="0.3">
      <c r="A81" s="10" t="s">
        <v>106</v>
      </c>
      <c r="F81" s="168"/>
      <c r="G81" s="51"/>
      <c r="H81" s="104"/>
      <c r="I81" s="104"/>
      <c r="M81" s="9"/>
    </row>
    <row r="82" spans="1:13" x14ac:dyDescent="0.3">
      <c r="A82" s="10" t="s">
        <v>107</v>
      </c>
      <c r="G82" s="104"/>
      <c r="H82" s="104"/>
      <c r="I82" s="104"/>
      <c r="K82" s="9"/>
      <c r="M82" s="9"/>
    </row>
    <row r="83" spans="1:13" x14ac:dyDescent="0.3">
      <c r="A83" s="10" t="s">
        <v>108</v>
      </c>
      <c r="G83" s="9"/>
      <c r="H83" s="9"/>
      <c r="I83" s="9"/>
      <c r="K83" s="9"/>
      <c r="M83" s="9"/>
    </row>
    <row r="84" spans="1:13" x14ac:dyDescent="0.3">
      <c r="A84" s="10" t="s">
        <v>109</v>
      </c>
      <c r="G84" s="9"/>
      <c r="H84" s="9"/>
      <c r="I84" s="9"/>
      <c r="K84" s="9"/>
      <c r="M84" s="9"/>
    </row>
    <row r="85" spans="1:13" x14ac:dyDescent="0.3">
      <c r="A85" s="10" t="s">
        <v>110</v>
      </c>
      <c r="G85" s="9"/>
      <c r="H85" s="9"/>
      <c r="I85" s="9"/>
      <c r="M85" s="9"/>
    </row>
    <row r="86" spans="1:13" x14ac:dyDescent="0.3">
      <c r="A86" s="10" t="s">
        <v>111</v>
      </c>
      <c r="G86" s="9"/>
      <c r="H86" s="9"/>
      <c r="I86" s="9"/>
      <c r="M86" s="9"/>
    </row>
    <row r="87" spans="1:13" x14ac:dyDescent="0.3">
      <c r="A87" s="10" t="s">
        <v>112</v>
      </c>
      <c r="G87" s="9"/>
      <c r="H87" s="9"/>
      <c r="I87" s="9"/>
    </row>
    <row r="88" spans="1:13" x14ac:dyDescent="0.3">
      <c r="A88" s="10" t="s">
        <v>113</v>
      </c>
      <c r="G88" s="9"/>
      <c r="H88" s="9"/>
      <c r="I88" s="9"/>
    </row>
    <row r="89" spans="1:13" x14ac:dyDescent="0.3">
      <c r="A89" s="10" t="s">
        <v>114</v>
      </c>
      <c r="G89" s="9"/>
      <c r="H89" s="9"/>
      <c r="I89" s="9"/>
    </row>
    <row r="90" spans="1:13" x14ac:dyDescent="0.3">
      <c r="A90" s="10" t="s">
        <v>115</v>
      </c>
      <c r="G90" s="9"/>
      <c r="H90" s="9"/>
      <c r="I90" s="9"/>
    </row>
    <row r="91" spans="1:13" x14ac:dyDescent="0.3">
      <c r="A91" s="10" t="s">
        <v>116</v>
      </c>
      <c r="G91" s="9"/>
      <c r="H91" s="9"/>
      <c r="I91" s="9"/>
    </row>
    <row r="92" spans="1:13" x14ac:dyDescent="0.3">
      <c r="A92" s="10" t="s">
        <v>117</v>
      </c>
      <c r="G92" s="9"/>
      <c r="H92" s="9"/>
      <c r="I92" s="9"/>
    </row>
    <row r="93" spans="1:13" x14ac:dyDescent="0.3">
      <c r="A93" s="10" t="s">
        <v>118</v>
      </c>
      <c r="G93" s="9"/>
      <c r="H93" s="9"/>
      <c r="I93" s="9"/>
    </row>
    <row r="94" spans="1:13" x14ac:dyDescent="0.3">
      <c r="A94" s="10" t="s">
        <v>119</v>
      </c>
      <c r="G94" s="9"/>
      <c r="H94" s="9"/>
      <c r="I94" s="9"/>
    </row>
    <row r="95" spans="1:13" x14ac:dyDescent="0.3">
      <c r="A95" s="10" t="s">
        <v>120</v>
      </c>
      <c r="G95" s="9"/>
      <c r="H95" s="9"/>
      <c r="I95" s="9"/>
    </row>
    <row r="96" spans="1:13" x14ac:dyDescent="0.3">
      <c r="A96" s="10" t="s">
        <v>121</v>
      </c>
      <c r="G96" s="9"/>
      <c r="H96" s="9"/>
      <c r="I96" s="9"/>
    </row>
    <row r="97" spans="1:9" x14ac:dyDescent="0.3">
      <c r="A97" s="10" t="s">
        <v>122</v>
      </c>
      <c r="G97" s="9"/>
      <c r="H97" s="9"/>
      <c r="I97" s="9"/>
    </row>
    <row r="98" spans="1:9" x14ac:dyDescent="0.3"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9:9" x14ac:dyDescent="0.3">
      <c r="I113" s="9"/>
    </row>
    <row r="114" spans="9:9" x14ac:dyDescent="0.3">
      <c r="I114" s="9"/>
    </row>
    <row r="115" spans="9:9" x14ac:dyDescent="0.3">
      <c r="I115" s="9"/>
    </row>
    <row r="116" spans="9:9" x14ac:dyDescent="0.3">
      <c r="I116" s="9"/>
    </row>
  </sheetData>
  <mergeCells count="12">
    <mergeCell ref="F50:F51"/>
    <mergeCell ref="G50:H51"/>
    <mergeCell ref="F52:H52"/>
    <mergeCell ref="F57:H57"/>
    <mergeCell ref="X59:Z59"/>
    <mergeCell ref="D63:E63"/>
    <mergeCell ref="F1:G1"/>
    <mergeCell ref="F4:H18"/>
    <mergeCell ref="I4:K18"/>
    <mergeCell ref="F24:G24"/>
    <mergeCell ref="F27:G27"/>
    <mergeCell ref="AA49:AB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topLeftCell="A4" workbookViewId="0">
      <selection sqref="A1:XFD1048576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27493246.440000001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123</v>
      </c>
      <c r="E2" s="14">
        <v>2200000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165635</v>
      </c>
      <c r="C3" s="178"/>
      <c r="D3" s="11"/>
      <c r="E3" s="14"/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787400</v>
      </c>
      <c r="C4" s="178"/>
      <c r="D4" s="11"/>
      <c r="E4" s="14"/>
      <c r="F4" s="15" t="s">
        <v>9</v>
      </c>
      <c r="G4" s="15"/>
      <c r="H4" s="16"/>
      <c r="I4" s="17">
        <f>B47-E2-E4-E5-E6-E7-E8-E9-E10-E3-E97</f>
        <v>27544585.535000004</v>
      </c>
      <c r="J4" s="15"/>
      <c r="K4" s="16"/>
      <c r="L4" s="9"/>
    </row>
    <row r="5" spans="1:30" x14ac:dyDescent="0.3">
      <c r="A5" s="11" t="s">
        <v>10</v>
      </c>
      <c r="B5" s="179">
        <v>7600</v>
      </c>
      <c r="C5" s="178"/>
      <c r="D5" s="19"/>
      <c r="E5" s="20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61"/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61">
        <v>8400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61">
        <v>169000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61">
        <v>2000</v>
      </c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124300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>
        <v>490000</v>
      </c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8000000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4981000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/>
      <c r="N19" s="9"/>
      <c r="V19" s="29"/>
      <c r="AC19" s="29"/>
    </row>
    <row r="20" spans="1:29" x14ac:dyDescent="0.3">
      <c r="A20" s="24" t="s">
        <v>133</v>
      </c>
      <c r="B20" s="61">
        <v>193000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23</v>
      </c>
      <c r="B21" s="61">
        <v>314000</v>
      </c>
      <c r="C21" s="42"/>
      <c r="D21" s="26"/>
      <c r="E21" s="35"/>
      <c r="F21" s="48"/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24</v>
      </c>
      <c r="B22" s="61">
        <v>2150000</v>
      </c>
      <c r="C22" s="42"/>
      <c r="D22" s="26"/>
      <c r="E22" s="50"/>
      <c r="F22" s="51"/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6" t="s">
        <v>25</v>
      </c>
      <c r="B23" s="61">
        <v>75000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4" t="s">
        <v>27</v>
      </c>
      <c r="B24" s="61">
        <v>20000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28</v>
      </c>
      <c r="B25" s="61">
        <v>570000</v>
      </c>
      <c r="C25" s="42"/>
      <c r="D25" s="26" t="s">
        <v>134</v>
      </c>
      <c r="E25" s="35">
        <v>6000</v>
      </c>
      <c r="F25" s="55" t="s">
        <v>30</v>
      </c>
      <c r="G25" s="56"/>
      <c r="H25" s="57"/>
      <c r="I25" s="58">
        <f>I1+B62-E62</f>
        <v>27546866.440000001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31</v>
      </c>
      <c r="B26" s="61">
        <v>1151000</v>
      </c>
      <c r="C26" s="42"/>
      <c r="D26" s="26" t="s">
        <v>135</v>
      </c>
      <c r="E26" s="59">
        <v>33000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33</v>
      </c>
      <c r="B27" s="61">
        <v>52000</v>
      </c>
      <c r="C27" s="42"/>
      <c r="D27" s="26" t="s">
        <v>136</v>
      </c>
      <c r="E27" s="61">
        <v>7500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35</v>
      </c>
      <c r="B28" s="61">
        <v>161000</v>
      </c>
      <c r="C28" s="42"/>
      <c r="D28" s="62" t="s">
        <v>137</v>
      </c>
      <c r="E28" s="63">
        <v>190000</v>
      </c>
      <c r="F28" s="64" t="s">
        <v>37</v>
      </c>
      <c r="G28" s="65"/>
      <c r="H28" s="66"/>
      <c r="I28" s="8">
        <f>I25-I4</f>
        <v>2280.9049999974668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38</v>
      </c>
      <c r="B29" s="61">
        <v>50000</v>
      </c>
      <c r="C29" s="42"/>
      <c r="D29" s="26"/>
      <c r="E29" s="61"/>
      <c r="F29" s="67"/>
      <c r="G29" s="67"/>
      <c r="H29" s="66"/>
      <c r="I29" s="68"/>
      <c r="J29" s="66"/>
      <c r="K29" s="9"/>
      <c r="L29" s="9">
        <v>100</v>
      </c>
      <c r="M29" s="9"/>
      <c r="N29" s="9"/>
      <c r="O29" s="9"/>
      <c r="V29" s="29"/>
      <c r="Z29" s="60"/>
      <c r="AA29" s="60"/>
      <c r="AB29" s="60"/>
    </row>
    <row r="30" spans="1:29" x14ac:dyDescent="0.3">
      <c r="A30" s="26" t="s">
        <v>40</v>
      </c>
      <c r="B30" s="61">
        <v>150000</v>
      </c>
      <c r="C30" s="42"/>
      <c r="D30" s="26"/>
      <c r="E30" s="61"/>
      <c r="F30" s="67"/>
      <c r="G30" s="68"/>
      <c r="H30" s="9"/>
      <c r="I30" s="68"/>
      <c r="J30" s="66"/>
      <c r="K30" s="9"/>
      <c r="L30" s="9">
        <v>-2.59</v>
      </c>
      <c r="M30" s="9"/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42</v>
      </c>
      <c r="B31" s="61">
        <v>150000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/>
      <c r="N31" s="9"/>
      <c r="O31" s="9"/>
      <c r="V31" s="29"/>
      <c r="Z31" s="60"/>
      <c r="AA31" s="60"/>
      <c r="AB31" s="60"/>
    </row>
    <row r="32" spans="1:29" ht="15" thickBot="1" x14ac:dyDescent="0.35">
      <c r="A32" s="183" t="s">
        <v>44</v>
      </c>
      <c r="B32" s="184">
        <v>191786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/>
      <c r="N32" s="9"/>
      <c r="O32" s="9"/>
      <c r="Z32" s="60"/>
      <c r="AA32" s="60"/>
      <c r="AB32" s="60"/>
    </row>
    <row r="33" spans="1:28" ht="15" thickBot="1" x14ac:dyDescent="0.35">
      <c r="A33" s="26" t="s">
        <v>50</v>
      </c>
      <c r="B33" s="61">
        <v>36681.35</v>
      </c>
      <c r="C33" s="42"/>
      <c r="D33" s="76"/>
      <c r="E33" s="77"/>
      <c r="F33" s="78" t="s">
        <v>51</v>
      </c>
      <c r="G33" s="43">
        <v>1630550</v>
      </c>
      <c r="H33" s="61">
        <f>G33/100*94.8-B39</f>
        <v>-31143.504999999888</v>
      </c>
      <c r="I33" s="79"/>
      <c r="J33" s="80"/>
      <c r="L33" s="9"/>
      <c r="M33" s="9"/>
      <c r="N33" s="9"/>
      <c r="O33" s="9"/>
      <c r="Z33" s="60"/>
      <c r="AA33" s="60"/>
      <c r="AB33" s="60"/>
    </row>
    <row r="34" spans="1:28" x14ac:dyDescent="0.3">
      <c r="A34" s="26" t="s">
        <v>52</v>
      </c>
      <c r="B34" s="61">
        <v>450000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/>
      <c r="N34" s="9"/>
      <c r="O34" s="9"/>
      <c r="Z34" s="60"/>
      <c r="AA34" s="60"/>
      <c r="AB34" s="60"/>
    </row>
    <row r="35" spans="1:28" x14ac:dyDescent="0.3">
      <c r="A35" s="26" t="s">
        <v>54</v>
      </c>
      <c r="B35" s="61">
        <v>5000000</v>
      </c>
      <c r="C35" s="42"/>
      <c r="D35" s="26"/>
      <c r="E35" s="61"/>
      <c r="F35" s="78" t="s">
        <v>11</v>
      </c>
      <c r="G35" s="43">
        <v>165000</v>
      </c>
      <c r="H35" s="61">
        <f>G35/100*94.5-B41</f>
        <v>-2805</v>
      </c>
      <c r="I35" s="82" t="s">
        <v>55</v>
      </c>
      <c r="J35" s="83">
        <v>42000</v>
      </c>
      <c r="L35" s="9"/>
      <c r="M35" s="9"/>
      <c r="N35" s="9"/>
      <c r="O35" s="9"/>
      <c r="Z35" s="60"/>
      <c r="AA35" s="60"/>
      <c r="AB35" s="60"/>
    </row>
    <row r="36" spans="1:28" x14ac:dyDescent="0.3">
      <c r="A36" s="26" t="s">
        <v>131</v>
      </c>
      <c r="B36" s="61">
        <v>140000</v>
      </c>
      <c r="C36" s="42"/>
      <c r="D36" s="84"/>
      <c r="E36" s="61"/>
      <c r="F36" s="78" t="s">
        <v>57</v>
      </c>
      <c r="G36" s="43">
        <v>1328900</v>
      </c>
      <c r="H36" s="61">
        <f>G36/100*94.5-B42</f>
        <v>-23388.64000000013</v>
      </c>
      <c r="I36" s="82" t="s">
        <v>58</v>
      </c>
      <c r="J36" s="83">
        <v>45000</v>
      </c>
      <c r="L36" s="9"/>
      <c r="M36" s="9"/>
      <c r="N36" s="9"/>
      <c r="O36" s="9"/>
      <c r="P36" s="9"/>
      <c r="Z36" s="60"/>
      <c r="AA36" s="60"/>
      <c r="AB36" s="60"/>
    </row>
    <row r="37" spans="1:28" x14ac:dyDescent="0.3">
      <c r="A37" s="26" t="s">
        <v>59</v>
      </c>
      <c r="B37" s="61">
        <v>456500</v>
      </c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/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295400</v>
      </c>
      <c r="H38" s="61">
        <f>G38/100*95-B45</f>
        <v>-7119.140000000014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1576904.9049999998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158730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1279199.1400000001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3419850</v>
      </c>
      <c r="H44" s="96">
        <f>SUM(H33:H43)</f>
        <v>-64456.285000000033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287749.14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/>
      <c r="H46" s="103">
        <f>G46/100*96</f>
        <v>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29744585.535000004</v>
      </c>
      <c r="C47" s="42"/>
      <c r="D47" s="26"/>
      <c r="E47" s="61"/>
      <c r="F47" s="101" t="s">
        <v>84</v>
      </c>
      <c r="G47" s="107"/>
      <c r="H47" s="108">
        <f>G47</f>
        <v>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64420</v>
      </c>
      <c r="C49" s="42"/>
      <c r="D49" s="26"/>
      <c r="E49" s="61"/>
      <c r="F49" s="109" t="s">
        <v>88</v>
      </c>
      <c r="G49" s="107">
        <v>-191786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0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139</v>
      </c>
      <c r="B51" s="61">
        <v>350000</v>
      </c>
      <c r="C51" s="42"/>
      <c r="D51" s="26"/>
      <c r="E51" s="61"/>
      <c r="F51" s="116" t="s">
        <v>90</v>
      </c>
      <c r="G51" s="117">
        <f>G47-H46-G48+G49</f>
        <v>-191786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/>
      <c r="B52" s="14"/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/>
      <c r="B53" s="120"/>
      <c r="C53" s="42"/>
      <c r="D53" s="54"/>
      <c r="E53" s="120"/>
      <c r="F53" s="169" t="s">
        <v>140</v>
      </c>
      <c r="G53" s="126"/>
      <c r="H53" s="127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/>
      <c r="B54" s="14"/>
      <c r="C54" s="42"/>
      <c r="D54" s="54"/>
      <c r="E54" s="120"/>
      <c r="F54" s="170" t="s">
        <v>92</v>
      </c>
      <c r="G54" s="43">
        <v>2633900</v>
      </c>
      <c r="H54" s="61">
        <f>G54/100*94.5</f>
        <v>2489035.5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170" t="s">
        <v>93</v>
      </c>
      <c r="G55" s="43">
        <v>2325000</v>
      </c>
      <c r="H55" s="61">
        <f>-G55</f>
        <v>-2325000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170" t="s">
        <v>94</v>
      </c>
      <c r="G56" s="43">
        <v>-200716.85</v>
      </c>
      <c r="H56" s="61">
        <f>G56</f>
        <v>-200716.85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71"/>
      <c r="G57" s="172" t="s">
        <v>90</v>
      </c>
      <c r="H57" s="149">
        <f>SUM(H54:H56)</f>
        <v>-36681.350000000006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414420</v>
      </c>
      <c r="C62" s="188"/>
      <c r="D62" s="141" t="s">
        <v>16</v>
      </c>
      <c r="E62" s="174">
        <f>SUM(E11:E61)</f>
        <v>360800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tabSelected="1" workbookViewId="0">
      <selection activeCell="D17" sqref="D17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89" t="s">
        <v>0</v>
      </c>
      <c r="B1" s="176"/>
      <c r="C1" s="177"/>
      <c r="D1" s="189" t="s">
        <v>1</v>
      </c>
      <c r="E1" s="4"/>
      <c r="F1" s="5" t="s">
        <v>2</v>
      </c>
      <c r="G1" s="6"/>
      <c r="H1" s="7"/>
      <c r="I1" s="8">
        <v>27544585.539999999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141</v>
      </c>
      <c r="E2" s="14">
        <v>915000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54885</v>
      </c>
      <c r="C3" s="178"/>
      <c r="D3" s="11" t="s">
        <v>7</v>
      </c>
      <c r="E3" s="14">
        <v>2000000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1522230</v>
      </c>
      <c r="C4" s="178"/>
      <c r="D4" s="11"/>
      <c r="E4" s="14"/>
      <c r="F4" s="15" t="s">
        <v>9</v>
      </c>
      <c r="G4" s="15"/>
      <c r="H4" s="16"/>
      <c r="I4" s="17">
        <f>B47-E2-E4-E5-E6-E7-E8-E9-E10-E3-E97</f>
        <v>28295633.32</v>
      </c>
      <c r="J4" s="15"/>
      <c r="K4" s="16"/>
      <c r="L4" s="9"/>
    </row>
    <row r="5" spans="1:30" x14ac:dyDescent="0.3">
      <c r="A5" s="11" t="s">
        <v>10</v>
      </c>
      <c r="B5" s="179">
        <v>7600</v>
      </c>
      <c r="C5" s="178"/>
      <c r="D5" s="11"/>
      <c r="E5" s="14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61"/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61">
        <v>8400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61">
        <v>169000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61">
        <v>2000</v>
      </c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190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223750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63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/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9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11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8750000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4981000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/>
      <c r="N19" s="9"/>
      <c r="V19" s="29"/>
      <c r="AC19" s="29"/>
    </row>
    <row r="20" spans="1:29" x14ac:dyDescent="0.3">
      <c r="A20" s="24"/>
      <c r="B20" s="61"/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23</v>
      </c>
      <c r="B21" s="61">
        <v>19000</v>
      </c>
      <c r="C21" s="42"/>
      <c r="D21" s="26"/>
      <c r="E21" s="35"/>
      <c r="F21" s="48"/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24</v>
      </c>
      <c r="B22" s="61">
        <v>2150000</v>
      </c>
      <c r="C22" s="42"/>
      <c r="D22" s="26"/>
      <c r="E22" s="35"/>
      <c r="F22" s="104"/>
      <c r="G22" s="104"/>
      <c r="H22" s="104"/>
      <c r="I22" s="9"/>
      <c r="J22" s="9"/>
      <c r="K22" s="9"/>
      <c r="L22" s="9"/>
      <c r="M22" s="9"/>
      <c r="N22" s="9"/>
      <c r="V22" s="29"/>
    </row>
    <row r="23" spans="1:29" x14ac:dyDescent="0.3">
      <c r="A23" s="26" t="s">
        <v>25</v>
      </c>
      <c r="B23" s="61">
        <v>75000</v>
      </c>
      <c r="C23" s="42"/>
      <c r="D23" s="192" t="s">
        <v>26</v>
      </c>
      <c r="E23" s="53"/>
      <c r="F23" s="9"/>
      <c r="G23" s="9"/>
      <c r="H23" s="9"/>
      <c r="I23" s="9"/>
      <c r="J23" s="9"/>
      <c r="K23" s="9">
        <v>314000</v>
      </c>
      <c r="L23" s="9"/>
      <c r="M23" s="9"/>
      <c r="N23" s="9"/>
      <c r="O23" s="9"/>
      <c r="V23" s="29"/>
    </row>
    <row r="24" spans="1:29" ht="15" thickBot="1" x14ac:dyDescent="0.35">
      <c r="A24" s="24" t="s">
        <v>27</v>
      </c>
      <c r="B24" s="61">
        <v>20000</v>
      </c>
      <c r="C24" s="42"/>
      <c r="D24" s="54" t="s">
        <v>26</v>
      </c>
      <c r="E24" s="14"/>
      <c r="F24" s="9"/>
      <c r="G24" s="9"/>
      <c r="H24" s="9"/>
      <c r="I24" s="9"/>
      <c r="J24" s="9"/>
      <c r="K24" s="9">
        <v>-295000</v>
      </c>
      <c r="L24" s="37"/>
      <c r="M24" s="9"/>
      <c r="N24" s="9"/>
      <c r="O24" s="9"/>
      <c r="V24" s="29"/>
    </row>
    <row r="25" spans="1:29" ht="15" thickBot="1" x14ac:dyDescent="0.35">
      <c r="A25" s="26" t="s">
        <v>28</v>
      </c>
      <c r="B25" s="61">
        <v>570000</v>
      </c>
      <c r="C25" s="42"/>
      <c r="D25" s="26" t="s">
        <v>142</v>
      </c>
      <c r="E25" s="35">
        <v>45000</v>
      </c>
      <c r="F25" s="55" t="s">
        <v>30</v>
      </c>
      <c r="G25" s="56"/>
      <c r="H25" s="57"/>
      <c r="I25" s="58">
        <f>I1+B62-E62</f>
        <v>28297235.539999999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31</v>
      </c>
      <c r="B26" s="61">
        <v>1151000</v>
      </c>
      <c r="C26" s="42"/>
      <c r="D26" s="26" t="s">
        <v>143</v>
      </c>
      <c r="E26" s="59">
        <v>95000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33</v>
      </c>
      <c r="B27" s="61">
        <v>52000</v>
      </c>
      <c r="C27" s="42"/>
      <c r="D27" s="26" t="s">
        <v>144</v>
      </c>
      <c r="E27" s="61">
        <v>8000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35</v>
      </c>
      <c r="B28" s="61">
        <v>161000</v>
      </c>
      <c r="C28" s="42"/>
      <c r="D28" s="62" t="s">
        <v>127</v>
      </c>
      <c r="E28" s="63">
        <v>10000</v>
      </c>
      <c r="F28" s="64" t="s">
        <v>37</v>
      </c>
      <c r="G28" s="65"/>
      <c r="H28" s="66"/>
      <c r="I28" s="8">
        <f>I25-I4</f>
        <v>1602.2199999988079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38</v>
      </c>
      <c r="B29" s="61">
        <v>50000</v>
      </c>
      <c r="C29" s="42"/>
      <c r="D29" s="26" t="s">
        <v>137</v>
      </c>
      <c r="E29" s="61">
        <v>83250</v>
      </c>
      <c r="F29" s="67"/>
      <c r="G29" s="67"/>
      <c r="H29" s="66"/>
      <c r="I29" s="68"/>
      <c r="J29" s="66"/>
      <c r="K29" s="9"/>
      <c r="L29" s="9">
        <v>100</v>
      </c>
      <c r="M29" s="9"/>
      <c r="N29" s="9"/>
      <c r="O29" s="9"/>
      <c r="V29" s="29"/>
      <c r="Z29" s="60"/>
      <c r="AA29" s="60"/>
      <c r="AB29" s="60"/>
    </row>
    <row r="30" spans="1:29" x14ac:dyDescent="0.3">
      <c r="A30" s="26" t="s">
        <v>40</v>
      </c>
      <c r="B30" s="61">
        <v>150000</v>
      </c>
      <c r="C30" s="42"/>
      <c r="D30" s="26"/>
      <c r="E30" s="61"/>
      <c r="F30" s="67"/>
      <c r="G30" s="68"/>
      <c r="H30" s="9"/>
      <c r="I30" s="68"/>
      <c r="J30" s="66"/>
      <c r="K30" s="9"/>
      <c r="L30" s="9">
        <v>-2.59</v>
      </c>
      <c r="M30" s="9"/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42</v>
      </c>
      <c r="B31" s="61">
        <v>150000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/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44</v>
      </c>
      <c r="B32" s="61">
        <v>191786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>
        <v>682000</v>
      </c>
      <c r="M32" s="9"/>
      <c r="N32" s="9"/>
      <c r="O32" s="9"/>
      <c r="Z32" s="60"/>
      <c r="AA32" s="60"/>
      <c r="AB32" s="60"/>
    </row>
    <row r="33" spans="1:28" ht="15" thickBot="1" x14ac:dyDescent="0.35">
      <c r="A33" s="26" t="s">
        <v>50</v>
      </c>
      <c r="B33" s="61">
        <v>24279.65</v>
      </c>
      <c r="C33" s="42"/>
      <c r="D33" s="76"/>
      <c r="E33" s="77"/>
      <c r="F33" s="78" t="s">
        <v>51</v>
      </c>
      <c r="G33" s="43">
        <v>2325500</v>
      </c>
      <c r="H33" s="61">
        <f>G33/100*95-B39</f>
        <v>-39766.049999999814</v>
      </c>
      <c r="I33" s="79"/>
      <c r="J33" s="80"/>
      <c r="L33" s="9">
        <v>1632500</v>
      </c>
      <c r="M33" s="9"/>
      <c r="N33" s="9"/>
      <c r="O33" s="9"/>
      <c r="Z33" s="60"/>
      <c r="AA33" s="60"/>
      <c r="AB33" s="60"/>
    </row>
    <row r="34" spans="1:28" x14ac:dyDescent="0.3">
      <c r="A34" s="26" t="s">
        <v>52</v>
      </c>
      <c r="B34" s="61">
        <v>2450000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/>
      <c r="N34" s="9"/>
      <c r="O34" s="9"/>
      <c r="Z34" s="60"/>
      <c r="AA34" s="60"/>
      <c r="AB34" s="60"/>
    </row>
    <row r="35" spans="1:28" x14ac:dyDescent="0.3">
      <c r="A35" s="26" t="s">
        <v>54</v>
      </c>
      <c r="B35" s="61">
        <v>5000000</v>
      </c>
      <c r="C35" s="42"/>
      <c r="D35" s="26"/>
      <c r="E35" s="61"/>
      <c r="F35" s="78" t="s">
        <v>11</v>
      </c>
      <c r="G35" s="43">
        <v>233110</v>
      </c>
      <c r="H35" s="61">
        <f>G35/100*94.5-B41</f>
        <v>-3962.8700000000244</v>
      </c>
      <c r="I35" s="82" t="s">
        <v>55</v>
      </c>
      <c r="J35" s="83">
        <v>42000</v>
      </c>
      <c r="L35" s="9"/>
      <c r="M35" s="9"/>
      <c r="N35" s="9"/>
      <c r="O35" s="9"/>
      <c r="Z35" s="60"/>
      <c r="AA35" s="60"/>
      <c r="AB35" s="60"/>
    </row>
    <row r="36" spans="1:28" x14ac:dyDescent="0.3">
      <c r="A36" s="26" t="s">
        <v>131</v>
      </c>
      <c r="B36" s="61">
        <v>140000</v>
      </c>
      <c r="C36" s="42"/>
      <c r="D36" s="84"/>
      <c r="E36" s="61"/>
      <c r="F36" s="78" t="s">
        <v>57</v>
      </c>
      <c r="G36" s="43"/>
      <c r="H36" s="61">
        <f>G36/100*94.5-B42</f>
        <v>0</v>
      </c>
      <c r="I36" s="82" t="s">
        <v>58</v>
      </c>
      <c r="J36" s="83">
        <v>45000</v>
      </c>
      <c r="L36" s="9"/>
      <c r="M36" s="9"/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43"/>
      <c r="H37" s="61">
        <f>G37/100*95.5-B43</f>
        <v>0</v>
      </c>
      <c r="I37" s="10" t="s">
        <v>61</v>
      </c>
      <c r="J37" s="83">
        <v>406000</v>
      </c>
      <c r="L37" s="37"/>
      <c r="M37" s="9"/>
      <c r="N37" s="9"/>
      <c r="Z37" s="60"/>
      <c r="AA37" s="60"/>
      <c r="AB37" s="60"/>
    </row>
    <row r="38" spans="1:28" x14ac:dyDescent="0.3">
      <c r="A38" s="11" t="s">
        <v>62</v>
      </c>
      <c r="B38" s="14"/>
      <c r="C38" s="42"/>
      <c r="D38" s="26"/>
      <c r="E38" s="35"/>
      <c r="F38" s="81" t="s">
        <v>63</v>
      </c>
      <c r="G38" s="43">
        <v>378000</v>
      </c>
      <c r="H38" s="61">
        <f>G38/100*95-B45</f>
        <v>-9109.7999999999884</v>
      </c>
      <c r="I38" s="10" t="s">
        <v>64</v>
      </c>
      <c r="J38" s="83">
        <v>580000</v>
      </c>
      <c r="L38" s="3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2248991.0499999998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224251.82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0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61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193" t="s">
        <v>75</v>
      </c>
      <c r="G44" s="43">
        <f>SUM(G33+G34+G35+G36+G38+G39)</f>
        <v>2936610</v>
      </c>
      <c r="H44" s="61">
        <f>SUM(H33:H43)</f>
        <v>-52838.719999999827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368209.8</v>
      </c>
      <c r="C45" s="42"/>
      <c r="D45" s="26"/>
      <c r="E45" s="61"/>
      <c r="F45" s="194" t="s">
        <v>78</v>
      </c>
      <c r="G45" s="195" t="s">
        <v>79</v>
      </c>
      <c r="H45" s="196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94" t="s">
        <v>44</v>
      </c>
      <c r="G46" s="107"/>
      <c r="H46" s="197">
        <f>G46/100*96</f>
        <v>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54" t="s">
        <v>83</v>
      </c>
      <c r="B47" s="198">
        <f>SUM(B2:B46)</f>
        <v>31210633.32</v>
      </c>
      <c r="C47" s="42"/>
      <c r="D47" s="26"/>
      <c r="E47" s="61"/>
      <c r="F47" s="194" t="s">
        <v>84</v>
      </c>
      <c r="G47" s="107"/>
      <c r="H47" s="108">
        <f>G47</f>
        <v>0</v>
      </c>
      <c r="L47" s="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94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52650</v>
      </c>
      <c r="C49" s="42"/>
      <c r="D49" s="26"/>
      <c r="E49" s="61"/>
      <c r="F49" s="194" t="s">
        <v>88</v>
      </c>
      <c r="G49" s="107">
        <v>-191786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99" t="s">
        <v>44</v>
      </c>
      <c r="B50" s="14">
        <f>G46*0.015</f>
        <v>0</v>
      </c>
      <c r="C50" s="42"/>
      <c r="D50" s="26"/>
      <c r="E50" s="61"/>
      <c r="F50" s="194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145</v>
      </c>
      <c r="B51" s="61">
        <v>1085000</v>
      </c>
      <c r="C51" s="42"/>
      <c r="D51" s="26"/>
      <c r="E51" s="61"/>
      <c r="F51" s="116" t="s">
        <v>90</v>
      </c>
      <c r="G51" s="117">
        <f>G47-H46-G48+G49</f>
        <v>-191786</v>
      </c>
      <c r="H51" s="118"/>
      <c r="K51" s="9"/>
      <c r="L51" s="9">
        <v>317950</v>
      </c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 t="s">
        <v>146</v>
      </c>
      <c r="B52" s="14">
        <v>70000</v>
      </c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 t="s">
        <v>147</v>
      </c>
      <c r="B53" s="120">
        <v>10000</v>
      </c>
      <c r="C53" s="42"/>
      <c r="D53" s="54"/>
      <c r="E53" s="120"/>
      <c r="F53" s="200" t="s">
        <v>148</v>
      </c>
      <c r="G53" s="201"/>
      <c r="H53" s="202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/>
      <c r="B54" s="14"/>
      <c r="C54" s="42"/>
      <c r="D54" s="54"/>
      <c r="E54" s="120"/>
      <c r="F54" s="170" t="s">
        <v>92</v>
      </c>
      <c r="G54" s="43">
        <v>551060</v>
      </c>
      <c r="H54" s="61">
        <f>G54/100*94.5</f>
        <v>520751.7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170" t="s">
        <v>93</v>
      </c>
      <c r="G55" s="43">
        <v>508350</v>
      </c>
      <c r="H55" s="61">
        <f>-G55</f>
        <v>-508350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170" t="s">
        <v>94</v>
      </c>
      <c r="G56" s="43">
        <v>-36681.35</v>
      </c>
      <c r="H56" s="61">
        <f>G56</f>
        <v>-36681.35</v>
      </c>
      <c r="I56" s="9"/>
      <c r="J56" s="111">
        <v>256000</v>
      </c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71"/>
      <c r="G57" s="148" t="s">
        <v>90</v>
      </c>
      <c r="H57" s="149">
        <f>SUM(H54:H56)</f>
        <v>-24279.649999999987</v>
      </c>
      <c r="I57" s="104"/>
      <c r="J57" s="111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203"/>
      <c r="G58" s="203"/>
      <c r="H58" s="20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203"/>
      <c r="Y60" s="203"/>
      <c r="Z60" s="20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204"/>
      <c r="AC61" s="104"/>
    </row>
    <row r="62" spans="1:29" ht="15" thickBot="1" x14ac:dyDescent="0.35">
      <c r="A62" s="138" t="s">
        <v>96</v>
      </c>
      <c r="B62" s="187">
        <f>SUM(B49:B61)</f>
        <v>1217650</v>
      </c>
      <c r="C62" s="188"/>
      <c r="D62" s="138" t="s">
        <v>16</v>
      </c>
      <c r="E62" s="205">
        <f>SUM(E11:E61)</f>
        <v>465000</v>
      </c>
      <c r="F62" s="104"/>
      <c r="G62" s="104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82"/>
      <c r="AB62" s="128"/>
      <c r="AC62" s="104"/>
    </row>
    <row r="63" spans="1:29" x14ac:dyDescent="0.3">
      <c r="B63" s="10" t="s">
        <v>97</v>
      </c>
      <c r="C63" s="145"/>
      <c r="E63" s="104"/>
      <c r="F63" s="29"/>
      <c r="G63" s="29"/>
      <c r="H63" s="29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204"/>
      <c r="X65" s="104"/>
      <c r="Y65" s="104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82"/>
      <c r="Q66" s="128"/>
      <c r="X66" s="68"/>
      <c r="Y66" s="68"/>
      <c r="Z66" s="68"/>
      <c r="AB66" s="104"/>
      <c r="AC66" s="104"/>
    </row>
    <row r="67" spans="1:29" x14ac:dyDescent="0.3">
      <c r="C67" s="151"/>
      <c r="E67" s="128"/>
      <c r="F67" s="104"/>
      <c r="G67" s="104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104"/>
      <c r="Z71" s="104"/>
      <c r="AC71" s="104"/>
    </row>
    <row r="72" spans="1:29" x14ac:dyDescent="0.3">
      <c r="C72" s="151"/>
      <c r="E72" s="128"/>
      <c r="F72" s="154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04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206"/>
      <c r="I76" s="206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206"/>
      <c r="I77" s="206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207"/>
      <c r="G78" s="208"/>
      <c r="H78" s="206"/>
      <c r="I78" s="206"/>
      <c r="M78" s="9"/>
      <c r="Q78" s="104"/>
    </row>
    <row r="79" spans="1:29" x14ac:dyDescent="0.3">
      <c r="A79" s="10" t="s">
        <v>103</v>
      </c>
      <c r="C79" s="157"/>
      <c r="E79" s="164"/>
      <c r="F79" s="207"/>
      <c r="G79" s="207"/>
      <c r="H79" s="206"/>
      <c r="I79" s="206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G82" s="104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workbookViewId="0">
      <selection activeCell="D15" sqref="D15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28295633.32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56</v>
      </c>
      <c r="E2" s="14">
        <v>1440000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77585</v>
      </c>
      <c r="C3" s="178"/>
      <c r="D3" s="11" t="s">
        <v>123</v>
      </c>
      <c r="E3" s="14">
        <v>350000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491500</v>
      </c>
      <c r="C4" s="178"/>
      <c r="D4" s="11" t="s">
        <v>149</v>
      </c>
      <c r="E4" s="14">
        <v>1000000</v>
      </c>
      <c r="F4" s="15" t="s">
        <v>9</v>
      </c>
      <c r="G4" s="15"/>
      <c r="H4" s="16"/>
      <c r="I4" s="17">
        <f>B47-E2-E4-E5-E6-E7-E8-E9-E10-E3-E97</f>
        <v>28711336.939999998</v>
      </c>
      <c r="J4" s="15"/>
      <c r="K4" s="16"/>
      <c r="L4" s="9"/>
    </row>
    <row r="5" spans="1:30" x14ac:dyDescent="0.3">
      <c r="A5" s="11" t="s">
        <v>10</v>
      </c>
      <c r="B5" s="179">
        <v>7600</v>
      </c>
      <c r="C5" s="178"/>
      <c r="D5" s="19"/>
      <c r="E5" s="20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61">
        <v>74000</v>
      </c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61">
        <v>8400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61">
        <v>169000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61">
        <v>207000</v>
      </c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 t="s">
        <v>150</v>
      </c>
      <c r="B10" s="61">
        <v>1411600</v>
      </c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193300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>
        <v>490000</v>
      </c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9670000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5031000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314000</v>
      </c>
      <c r="C20" s="42"/>
      <c r="D20" s="26"/>
      <c r="E20" s="35"/>
      <c r="F20" s="48">
        <v>368600</v>
      </c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>
        <v>1043000</v>
      </c>
      <c r="G21" s="48"/>
      <c r="H21" s="48">
        <v>350000</v>
      </c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/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20000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570000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126</v>
      </c>
      <c r="E25" s="35">
        <v>70000</v>
      </c>
      <c r="F25" s="55" t="s">
        <v>30</v>
      </c>
      <c r="G25" s="56"/>
      <c r="H25" s="57"/>
      <c r="I25" s="58">
        <f>I1+B62-E62</f>
        <v>28222119.609999999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 t="s">
        <v>127</v>
      </c>
      <c r="E26" s="59">
        <v>25000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 t="s">
        <v>151</v>
      </c>
      <c r="E27" s="61">
        <v>68600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/>
      <c r="E28" s="63"/>
      <c r="F28" s="64" t="s">
        <v>37</v>
      </c>
      <c r="G28" s="65"/>
      <c r="H28" s="66"/>
      <c r="I28" s="8">
        <f>I25-I4</f>
        <v>-489217.32999999821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/>
      <c r="E29" s="61"/>
      <c r="F29" s="67"/>
      <c r="G29" s="67"/>
      <c r="H29" s="66"/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x14ac:dyDescent="0.3">
      <c r="A30" s="26" t="s">
        <v>42</v>
      </c>
      <c r="B30" s="61">
        <v>150000</v>
      </c>
      <c r="C30" s="42"/>
      <c r="D30" s="26"/>
      <c r="E30" s="61"/>
      <c r="F30" s="67"/>
      <c r="G30" s="68"/>
      <c r="H30" s="9"/>
      <c r="I30" s="68"/>
      <c r="J30" s="66"/>
      <c r="K30" s="9"/>
      <c r="L30" s="9"/>
      <c r="M30" s="9"/>
      <c r="N30" s="9"/>
      <c r="O30" s="9"/>
      <c r="V30" s="29"/>
      <c r="Z30" s="60"/>
      <c r="AA30" s="60"/>
      <c r="AB30" s="60"/>
    </row>
    <row r="31" spans="1:29" ht="15" thickBot="1" x14ac:dyDescent="0.35">
      <c r="A31" s="183" t="s">
        <v>44</v>
      </c>
      <c r="B31" s="184">
        <v>191786</v>
      </c>
      <c r="C31" s="42"/>
      <c r="D31" s="26"/>
      <c r="E31" s="61"/>
      <c r="F31" s="66" t="s">
        <v>14</v>
      </c>
      <c r="G31" s="66"/>
      <c r="H31" s="66"/>
      <c r="K31" s="66"/>
      <c r="L31" s="9"/>
      <c r="M31" s="9"/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50</v>
      </c>
      <c r="B32" s="61">
        <v>22496.15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/>
      <c r="N32" s="9"/>
      <c r="O32" s="9"/>
      <c r="Z32" s="60"/>
      <c r="AA32" s="60"/>
      <c r="AB32" s="60"/>
    </row>
    <row r="33" spans="1:28" ht="15" thickBot="1" x14ac:dyDescent="0.35">
      <c r="A33" s="26" t="s">
        <v>52</v>
      </c>
      <c r="B33" s="61">
        <v>2450000</v>
      </c>
      <c r="C33" s="42"/>
      <c r="D33" s="76"/>
      <c r="E33" s="77"/>
      <c r="F33" s="78" t="s">
        <v>51</v>
      </c>
      <c r="G33" s="43"/>
      <c r="H33" s="61">
        <f>G33/100*95-B39</f>
        <v>0</v>
      </c>
      <c r="I33" s="79"/>
      <c r="J33" s="80"/>
      <c r="L33" s="9"/>
      <c r="M33" s="9"/>
      <c r="N33" s="9"/>
      <c r="O33" s="9"/>
      <c r="Z33" s="60"/>
      <c r="AA33" s="60"/>
      <c r="AB33" s="60"/>
    </row>
    <row r="34" spans="1:28" x14ac:dyDescent="0.3">
      <c r="A34" s="26" t="s">
        <v>54</v>
      </c>
      <c r="B34" s="61">
        <v>5000000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/>
      <c r="N34" s="9"/>
      <c r="O34" s="9"/>
      <c r="Z34" s="60"/>
      <c r="AA34" s="60"/>
      <c r="AB34" s="60"/>
    </row>
    <row r="35" spans="1:28" x14ac:dyDescent="0.3">
      <c r="A35" s="26" t="s">
        <v>131</v>
      </c>
      <c r="B35" s="61">
        <v>450000</v>
      </c>
      <c r="C35" s="42"/>
      <c r="D35" s="26"/>
      <c r="E35" s="61"/>
      <c r="F35" s="78" t="s">
        <v>11</v>
      </c>
      <c r="G35" s="43">
        <v>181650</v>
      </c>
      <c r="H35" s="61">
        <f>G35/100*94.5-B41</f>
        <v>-3088.0500000000175</v>
      </c>
      <c r="I35" s="82" t="s">
        <v>55</v>
      </c>
      <c r="J35" s="83">
        <v>42000</v>
      </c>
      <c r="L35" s="9"/>
      <c r="M35" s="9"/>
      <c r="N35" s="9"/>
      <c r="O35" s="9"/>
      <c r="Z35" s="60"/>
      <c r="AA35" s="60"/>
      <c r="AB35" s="60"/>
    </row>
    <row r="36" spans="1:28" x14ac:dyDescent="0.3">
      <c r="C36" s="42"/>
      <c r="D36" s="84"/>
      <c r="E36" s="61"/>
      <c r="F36" s="78" t="s">
        <v>57</v>
      </c>
      <c r="G36" s="43">
        <v>118650</v>
      </c>
      <c r="H36" s="61">
        <f>G36/100*94.5-B42</f>
        <v>-2088.2400000000052</v>
      </c>
      <c r="I36" s="82" t="s">
        <v>58</v>
      </c>
      <c r="J36" s="83">
        <v>45000</v>
      </c>
      <c r="L36" s="9"/>
      <c r="M36" s="9"/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/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100000</v>
      </c>
      <c r="H38" s="61">
        <f>G38/100*94-B45</f>
        <v>-3410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0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174747.30000000002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114212.49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400300</v>
      </c>
      <c r="H44" s="96">
        <f>SUM(H33:H43)</f>
        <v>-8586.2900000000227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97410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/>
      <c r="H46" s="103">
        <f>G46/100*96</f>
        <v>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31501336.939999998</v>
      </c>
      <c r="C47" s="42"/>
      <c r="D47" s="26"/>
      <c r="E47" s="61"/>
      <c r="F47" s="101" t="s">
        <v>84</v>
      </c>
      <c r="G47" s="107"/>
      <c r="H47" s="108">
        <f>G47</f>
        <v>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8586.2900000000009</v>
      </c>
      <c r="C49" s="42"/>
      <c r="D49" s="26"/>
      <c r="E49" s="61"/>
      <c r="F49" s="109" t="s">
        <v>88</v>
      </c>
      <c r="G49" s="107">
        <v>-191786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0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152</v>
      </c>
      <c r="B51" s="61">
        <v>100000</v>
      </c>
      <c r="C51" s="42"/>
      <c r="D51" s="26"/>
      <c r="E51" s="61"/>
      <c r="F51" s="116" t="s">
        <v>90</v>
      </c>
      <c r="G51" s="117">
        <f>G47-H46-G48+G49</f>
        <v>-191786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 t="s">
        <v>123</v>
      </c>
      <c r="B52" s="14">
        <v>100000</v>
      </c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 t="s">
        <v>153</v>
      </c>
      <c r="B53" s="120">
        <v>50000</v>
      </c>
      <c r="C53" s="42"/>
      <c r="D53" s="54"/>
      <c r="E53" s="120"/>
      <c r="F53" s="169" t="s">
        <v>91</v>
      </c>
      <c r="G53" s="126"/>
      <c r="H53" s="127"/>
      <c r="I53" s="9">
        <v>181650</v>
      </c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 t="s">
        <v>154</v>
      </c>
      <c r="B54" s="14">
        <v>14800</v>
      </c>
      <c r="C54" s="42"/>
      <c r="D54" s="54"/>
      <c r="E54" s="120"/>
      <c r="F54" s="170" t="s">
        <v>92</v>
      </c>
      <c r="G54" s="43">
        <v>300300</v>
      </c>
      <c r="H54" s="61">
        <f>G54/100*94.5</f>
        <v>283783.5</v>
      </c>
      <c r="I54" s="104">
        <v>118650</v>
      </c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 t="s">
        <v>155</v>
      </c>
      <c r="B55" s="14">
        <v>10000</v>
      </c>
      <c r="C55" s="42"/>
      <c r="D55" s="54"/>
      <c r="E55" s="120"/>
      <c r="F55" s="170" t="s">
        <v>93</v>
      </c>
      <c r="G55" s="43">
        <v>282000</v>
      </c>
      <c r="H55" s="61">
        <f>-G55</f>
        <v>-282000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170" t="s">
        <v>94</v>
      </c>
      <c r="G56" s="43">
        <v>-24279.65</v>
      </c>
      <c r="H56" s="61">
        <f>G56</f>
        <v>-24279.65</v>
      </c>
      <c r="I56" s="9"/>
      <c r="J56" s="111">
        <v>256000</v>
      </c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71"/>
      <c r="G57" s="172" t="s">
        <v>90</v>
      </c>
      <c r="H57" s="149">
        <f>SUM(H54:H56)</f>
        <v>-22496.15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283386.29000000004</v>
      </c>
      <c r="C62" s="188"/>
      <c r="D62" s="141" t="s">
        <v>16</v>
      </c>
      <c r="E62" s="174">
        <f>SUM(E11:E61)</f>
        <v>356900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workbookViewId="0">
      <selection activeCell="B13" sqref="B13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28221336.940000001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56</v>
      </c>
      <c r="E2" s="14">
        <v>390000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214120</v>
      </c>
      <c r="C3" s="178"/>
      <c r="D3" s="11" t="s">
        <v>123</v>
      </c>
      <c r="E3" s="14">
        <v>1500000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2049990</v>
      </c>
      <c r="C4" s="178"/>
      <c r="D4" s="11" t="s">
        <v>50</v>
      </c>
      <c r="E4" s="14">
        <v>226100</v>
      </c>
      <c r="F4" s="15" t="s">
        <v>9</v>
      </c>
      <c r="G4" s="15"/>
      <c r="H4" s="16"/>
      <c r="I4" s="17">
        <f>B47-E2-E4-E5-E6-E7-E8-E9-E10-E3-E97</f>
        <v>29894997.100000001</v>
      </c>
      <c r="J4" s="15"/>
      <c r="K4" s="16"/>
      <c r="L4" s="9"/>
    </row>
    <row r="5" spans="1:30" x14ac:dyDescent="0.3">
      <c r="A5" s="11" t="s">
        <v>10</v>
      </c>
      <c r="B5" s="179">
        <v>7600</v>
      </c>
      <c r="C5" s="178"/>
      <c r="D5" s="19"/>
      <c r="E5" s="20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11</v>
      </c>
      <c r="B6" s="61"/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12</v>
      </c>
      <c r="B7" s="61">
        <v>8400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4" t="s">
        <v>13</v>
      </c>
      <c r="B8" s="61">
        <v>169000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15</v>
      </c>
      <c r="B9" s="61">
        <v>492000</v>
      </c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116750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>
        <v>1583000</v>
      </c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/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/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5941000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48"/>
      <c r="G19" s="48"/>
      <c r="H19" s="48"/>
      <c r="I19" s="48"/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314000</v>
      </c>
      <c r="C20" s="42"/>
      <c r="D20" s="26"/>
      <c r="E20" s="35"/>
      <c r="F20" s="48">
        <v>1583000</v>
      </c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>
        <v>466990</v>
      </c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/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20000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570000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137</v>
      </c>
      <c r="E25" s="35">
        <v>30000</v>
      </c>
      <c r="F25" s="55" t="s">
        <v>30</v>
      </c>
      <c r="G25" s="56"/>
      <c r="H25" s="57"/>
      <c r="I25" s="58">
        <f>I1+B62-E62</f>
        <v>28313051.940000001</v>
      </c>
      <c r="J25" s="57"/>
      <c r="K25" s="37">
        <v>32680</v>
      </c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 t="s">
        <v>156</v>
      </c>
      <c r="E26" s="59">
        <v>10000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 t="s">
        <v>157</v>
      </c>
      <c r="E27" s="61">
        <v>30000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 t="s">
        <v>155</v>
      </c>
      <c r="E28" s="63">
        <v>9500</v>
      </c>
      <c r="F28" s="64" t="s">
        <v>37</v>
      </c>
      <c r="G28" s="65"/>
      <c r="H28" s="66"/>
      <c r="I28" s="8">
        <f>I25-I4</f>
        <v>-1581945.1600000001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 t="s">
        <v>158</v>
      </c>
      <c r="E29" s="61">
        <v>10000</v>
      </c>
      <c r="F29" s="67"/>
      <c r="G29" s="67"/>
      <c r="H29" s="66"/>
      <c r="I29" s="68"/>
      <c r="J29" s="66"/>
      <c r="K29" s="9">
        <v>28311997</v>
      </c>
      <c r="L29" s="9"/>
      <c r="M29" s="9"/>
      <c r="N29" s="9"/>
      <c r="O29" s="9"/>
      <c r="V29" s="29"/>
      <c r="Z29" s="60"/>
      <c r="AA29" s="60"/>
      <c r="AB29" s="60"/>
    </row>
    <row r="30" spans="1:29" x14ac:dyDescent="0.3">
      <c r="A30" s="26" t="s">
        <v>42</v>
      </c>
      <c r="B30" s="61">
        <v>14000</v>
      </c>
      <c r="C30" s="42"/>
      <c r="D30" s="26"/>
      <c r="E30" s="61"/>
      <c r="F30" s="67"/>
      <c r="G30" s="68"/>
      <c r="H30" s="9"/>
      <c r="I30" s="68"/>
      <c r="J30" s="66"/>
      <c r="K30" s="9"/>
      <c r="L30" s="9"/>
      <c r="M30" s="9">
        <v>5.5</v>
      </c>
      <c r="N30" s="9"/>
      <c r="O30" s="9"/>
      <c r="V30" s="29"/>
      <c r="Z30" s="60"/>
      <c r="AA30" s="60"/>
      <c r="AB30" s="60"/>
    </row>
    <row r="31" spans="1:29" ht="15" thickBot="1" x14ac:dyDescent="0.35">
      <c r="A31" s="183" t="s">
        <v>44</v>
      </c>
      <c r="B31" s="184">
        <v>164466</v>
      </c>
      <c r="C31" s="42"/>
      <c r="D31" s="26"/>
      <c r="E31" s="61"/>
      <c r="F31" s="66" t="s">
        <v>14</v>
      </c>
      <c r="G31" s="66"/>
      <c r="H31" s="66"/>
      <c r="K31" s="66"/>
      <c r="L31" s="9"/>
      <c r="M31" s="9">
        <v>5.5</v>
      </c>
      <c r="N31" s="9"/>
      <c r="O31" s="9"/>
      <c r="V31" s="29"/>
      <c r="Z31" s="60"/>
      <c r="AA31" s="60"/>
      <c r="AB31" s="60"/>
    </row>
    <row r="32" spans="1:29" ht="15" thickBot="1" x14ac:dyDescent="0.35">
      <c r="A32" s="26"/>
      <c r="B32" s="61"/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>
        <v>5</v>
      </c>
      <c r="N32" s="9"/>
      <c r="O32" s="9"/>
      <c r="Z32" s="60"/>
      <c r="AA32" s="60"/>
      <c r="AB32" s="60"/>
    </row>
    <row r="33" spans="1:28" ht="15" thickBot="1" x14ac:dyDescent="0.35">
      <c r="A33" s="26" t="s">
        <v>52</v>
      </c>
      <c r="B33" s="61">
        <v>2450000</v>
      </c>
      <c r="C33" s="42"/>
      <c r="D33" s="76"/>
      <c r="E33" s="77"/>
      <c r="F33" s="78" t="s">
        <v>51</v>
      </c>
      <c r="G33" s="43">
        <v>1900000</v>
      </c>
      <c r="H33" s="61">
        <f>G33/100*94.6-B39</f>
        <v>-40089.999999999767</v>
      </c>
      <c r="I33" s="79"/>
      <c r="J33" s="80"/>
      <c r="L33" s="9"/>
      <c r="M33" s="9">
        <v>5</v>
      </c>
      <c r="N33" s="9"/>
      <c r="O33" s="9"/>
      <c r="Z33" s="60"/>
      <c r="AA33" s="60"/>
      <c r="AB33" s="60"/>
    </row>
    <row r="34" spans="1:28" x14ac:dyDescent="0.3">
      <c r="A34" s="26" t="s">
        <v>54</v>
      </c>
      <c r="B34" s="61">
        <v>5000000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>
        <v>5</v>
      </c>
      <c r="N34" s="9"/>
      <c r="O34" s="9"/>
      <c r="Z34" s="60"/>
      <c r="AA34" s="60"/>
      <c r="AB34" s="60"/>
    </row>
    <row r="35" spans="1:28" x14ac:dyDescent="0.3">
      <c r="A35" s="26" t="s">
        <v>131</v>
      </c>
      <c r="B35" s="61">
        <v>5950000</v>
      </c>
      <c r="C35" s="42"/>
      <c r="D35" s="26"/>
      <c r="E35" s="61"/>
      <c r="F35" s="78" t="s">
        <v>11</v>
      </c>
      <c r="G35" s="43">
        <v>292050</v>
      </c>
      <c r="H35" s="61">
        <f>G35/100*94.5-B41</f>
        <v>-4964.8500000000349</v>
      </c>
      <c r="I35" s="82" t="s">
        <v>55</v>
      </c>
      <c r="J35" s="83">
        <v>42000</v>
      </c>
      <c r="L35" s="9"/>
      <c r="M35" s="9">
        <v>5.5</v>
      </c>
      <c r="N35" s="9"/>
      <c r="O35" s="9"/>
      <c r="Z35" s="60"/>
      <c r="AA35" s="60"/>
      <c r="AB35" s="60"/>
    </row>
    <row r="36" spans="1:28" x14ac:dyDescent="0.3">
      <c r="A36" s="10" t="s">
        <v>159</v>
      </c>
      <c r="B36" s="9">
        <v>451000</v>
      </c>
      <c r="C36" s="42"/>
      <c r="D36" s="84"/>
      <c r="E36" s="61"/>
      <c r="F36" s="78" t="s">
        <v>57</v>
      </c>
      <c r="G36" s="43"/>
      <c r="H36" s="61">
        <f>G36/100*94.5-B42</f>
        <v>0</v>
      </c>
      <c r="I36" s="82" t="s">
        <v>58</v>
      </c>
      <c r="J36" s="83">
        <v>45000</v>
      </c>
      <c r="L36" s="9"/>
      <c r="M36" s="9">
        <v>5.5</v>
      </c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>
        <v>5.5</v>
      </c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190000</v>
      </c>
      <c r="H38" s="61">
        <f>G38/100*95-B45</f>
        <v>-4579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1837489.9999999998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280952.10000000003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0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2382050</v>
      </c>
      <c r="H44" s="96">
        <f>SUM(H33:H43)</f>
        <v>-49633.849999999802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185079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>
        <v>683000</v>
      </c>
      <c r="H46" s="103">
        <f>G46/100*96</f>
        <v>655680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32011097.100000001</v>
      </c>
      <c r="C47" s="42"/>
      <c r="D47" s="26"/>
      <c r="E47" s="61"/>
      <c r="F47" s="101" t="s">
        <v>84</v>
      </c>
      <c r="G47" s="107">
        <v>754000</v>
      </c>
      <c r="H47" s="108">
        <f>G47</f>
        <v>754000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>
        <v>71000</v>
      </c>
      <c r="H48" s="108">
        <f>-G48</f>
        <v>-71000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61920</v>
      </c>
      <c r="C49" s="42"/>
      <c r="D49" s="26"/>
      <c r="E49" s="61"/>
      <c r="F49" s="109" t="s">
        <v>88</v>
      </c>
      <c r="G49" s="107">
        <v>-191786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10245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160</v>
      </c>
      <c r="B51" s="61">
        <v>200000</v>
      </c>
      <c r="C51" s="42"/>
      <c r="D51" s="26"/>
      <c r="E51" s="61"/>
      <c r="F51" s="116" t="s">
        <v>90</v>
      </c>
      <c r="G51" s="117">
        <f>G47-H46-G48+G49</f>
        <v>-164466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 t="s">
        <v>161</v>
      </c>
      <c r="B52" s="14">
        <v>25800</v>
      </c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/>
      <c r="B53" s="120"/>
      <c r="C53" s="42"/>
      <c r="D53" s="54"/>
      <c r="E53" s="120"/>
      <c r="F53" s="169" t="s">
        <v>95</v>
      </c>
      <c r="G53" s="126"/>
      <c r="H53" s="127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/>
      <c r="B54" s="14"/>
      <c r="C54" s="42"/>
      <c r="D54" s="54"/>
      <c r="E54" s="120"/>
      <c r="F54" s="170" t="s">
        <v>92</v>
      </c>
      <c r="G54" s="43">
        <v>340500</v>
      </c>
      <c r="H54" s="61">
        <f>G54/100*94.5</f>
        <v>321772.5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170" t="s">
        <v>93</v>
      </c>
      <c r="G55" s="43">
        <v>387000</v>
      </c>
      <c r="H55" s="61">
        <f>-G55</f>
        <v>-387000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170" t="s">
        <v>94</v>
      </c>
      <c r="G56" s="43">
        <v>-22496.15</v>
      </c>
      <c r="H56" s="61">
        <f>G56</f>
        <v>-22496.15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71"/>
      <c r="G57" s="172" t="s">
        <v>90</v>
      </c>
      <c r="H57" s="149">
        <f>SUM(H54:H56)</f>
        <v>-87723.65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69" t="s">
        <v>98</v>
      </c>
      <c r="G58" s="126"/>
      <c r="H58" s="127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70" t="s">
        <v>92</v>
      </c>
      <c r="G59" s="43">
        <v>2365050</v>
      </c>
      <c r="H59" s="61">
        <f>G59/100*94.5</f>
        <v>2234972.25</v>
      </c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70" t="s">
        <v>93</v>
      </c>
      <c r="G60" s="43">
        <v>2000100</v>
      </c>
      <c r="H60" s="61">
        <f>-G60</f>
        <v>-2000100</v>
      </c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70" t="s">
        <v>94</v>
      </c>
      <c r="G61" s="43">
        <v>-8773.65</v>
      </c>
      <c r="H61" s="61">
        <f>G61</f>
        <v>-8773.65</v>
      </c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297965</v>
      </c>
      <c r="C62" s="188"/>
      <c r="D62" s="141" t="s">
        <v>16</v>
      </c>
      <c r="E62" s="174">
        <f>SUM(E11:E61)</f>
        <v>206250</v>
      </c>
      <c r="F62" s="171"/>
      <c r="G62" s="172" t="s">
        <v>162</v>
      </c>
      <c r="H62" s="149">
        <f>SUM(H59:H61)</f>
        <v>226098.6</v>
      </c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workbookViewId="0">
      <selection activeCell="B11" sqref="B11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28311997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24</v>
      </c>
      <c r="E2" s="14">
        <v>1400000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133080</v>
      </c>
      <c r="C3" s="178"/>
      <c r="D3" s="11" t="s">
        <v>123</v>
      </c>
      <c r="E3" s="14">
        <v>1800000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2260000</v>
      </c>
      <c r="C4" s="178"/>
      <c r="D4" s="11" t="s">
        <v>50</v>
      </c>
      <c r="E4" s="14">
        <v>11727.5</v>
      </c>
      <c r="F4" s="15" t="s">
        <v>9</v>
      </c>
      <c r="G4" s="15"/>
      <c r="H4" s="16"/>
      <c r="I4" s="17">
        <f>B47-E2-E4-E5-E6-E7-E8-E9-E10-E3-E97</f>
        <v>28771219.299999997</v>
      </c>
      <c r="J4" s="15"/>
      <c r="K4" s="16"/>
      <c r="L4" s="9"/>
    </row>
    <row r="5" spans="1:30" x14ac:dyDescent="0.3">
      <c r="A5" s="24" t="s">
        <v>163</v>
      </c>
      <c r="B5" s="61">
        <v>369700</v>
      </c>
      <c r="C5" s="178"/>
      <c r="D5" s="11" t="s">
        <v>164</v>
      </c>
      <c r="E5" s="14">
        <v>4870000</v>
      </c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12</v>
      </c>
      <c r="B6" s="61">
        <v>8400</v>
      </c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4" t="s">
        <v>13</v>
      </c>
      <c r="B7" s="61">
        <v>169000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6" t="s">
        <v>15</v>
      </c>
      <c r="B8" s="61">
        <v>1485000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/>
      <c r="B9" s="61"/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31700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/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8500000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5541000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209">
        <v>46154</v>
      </c>
      <c r="G19" s="210">
        <v>97300</v>
      </c>
      <c r="H19" s="210" t="s">
        <v>165</v>
      </c>
      <c r="I19" s="210" t="s">
        <v>166</v>
      </c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414000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>
        <v>1770000</v>
      </c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>
        <v>490000</v>
      </c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20000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570000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167</v>
      </c>
      <c r="E25" s="35">
        <v>9300</v>
      </c>
      <c r="F25" s="55" t="s">
        <v>30</v>
      </c>
      <c r="G25" s="56"/>
      <c r="H25" s="57"/>
      <c r="I25" s="58">
        <f>I1+B62-E62</f>
        <v>28773312.5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 t="s">
        <v>126</v>
      </c>
      <c r="E26" s="59">
        <v>20000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 t="s">
        <v>34</v>
      </c>
      <c r="E27" s="61">
        <v>130000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 t="s">
        <v>168</v>
      </c>
      <c r="E28" s="63">
        <v>14000</v>
      </c>
      <c r="F28" s="64" t="s">
        <v>37</v>
      </c>
      <c r="G28" s="65"/>
      <c r="H28" s="66"/>
      <c r="I28" s="8">
        <f>I25-I4</f>
        <v>2093.2000000029802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 t="s">
        <v>127</v>
      </c>
      <c r="E29" s="61">
        <v>10000</v>
      </c>
      <c r="F29" s="67"/>
      <c r="G29" s="67"/>
      <c r="H29" s="66"/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x14ac:dyDescent="0.3">
      <c r="A30" s="183" t="s">
        <v>44</v>
      </c>
      <c r="B30" s="184">
        <v>150158</v>
      </c>
      <c r="C30" s="42"/>
      <c r="D30" s="26"/>
      <c r="E30" s="61"/>
      <c r="F30" s="67"/>
      <c r="G30" s="68"/>
      <c r="H30" s="9"/>
      <c r="I30" s="68"/>
      <c r="J30" s="66"/>
      <c r="K30" s="9"/>
      <c r="L30" s="9"/>
      <c r="M30" s="9">
        <v>5.5</v>
      </c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52</v>
      </c>
      <c r="B31" s="61">
        <v>450000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>
        <v>5.5</v>
      </c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54</v>
      </c>
      <c r="B32" s="61">
        <v>5000000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>
        <v>5</v>
      </c>
      <c r="N32" s="9"/>
      <c r="O32" s="9"/>
      <c r="Z32" s="60"/>
      <c r="AA32" s="60"/>
      <c r="AB32" s="60"/>
    </row>
    <row r="33" spans="1:28" ht="15" thickBot="1" x14ac:dyDescent="0.35">
      <c r="A33" s="26" t="s">
        <v>131</v>
      </c>
      <c r="B33" s="61">
        <v>5650000</v>
      </c>
      <c r="C33" s="42"/>
      <c r="D33" s="76"/>
      <c r="E33" s="77"/>
      <c r="F33" s="78" t="s">
        <v>51</v>
      </c>
      <c r="G33" s="43"/>
      <c r="H33" s="61">
        <f>G33/100*94.6-B39</f>
        <v>0</v>
      </c>
      <c r="I33" s="79"/>
      <c r="J33" s="80"/>
      <c r="L33" s="9"/>
      <c r="M33" s="9">
        <v>5</v>
      </c>
      <c r="N33" s="9"/>
      <c r="O33" s="9"/>
      <c r="Z33" s="60"/>
      <c r="AA33" s="60"/>
      <c r="AB33" s="60"/>
    </row>
    <row r="34" spans="1:28" x14ac:dyDescent="0.3">
      <c r="A34" s="10" t="s">
        <v>159</v>
      </c>
      <c r="B34" s="9">
        <v>451000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>
        <v>5</v>
      </c>
      <c r="N34" s="9"/>
      <c r="O34" s="9"/>
      <c r="Z34" s="60"/>
      <c r="AA34" s="60"/>
      <c r="AB34" s="60"/>
    </row>
    <row r="35" spans="1:28" x14ac:dyDescent="0.3">
      <c r="A35" s="26"/>
      <c r="B35" s="61"/>
      <c r="C35" s="42"/>
      <c r="D35" s="26"/>
      <c r="E35" s="61"/>
      <c r="F35" s="78" t="s">
        <v>11</v>
      </c>
      <c r="G35" s="43">
        <v>854000</v>
      </c>
      <c r="H35" s="61">
        <f>G35/100*94.5-B41</f>
        <v>-14518</v>
      </c>
      <c r="I35" s="82" t="s">
        <v>55</v>
      </c>
      <c r="J35" s="83">
        <v>42000</v>
      </c>
      <c r="L35" s="9"/>
      <c r="M35" s="9">
        <v>5.5</v>
      </c>
      <c r="N35" s="9"/>
      <c r="O35" s="9"/>
      <c r="Z35" s="60"/>
      <c r="AA35" s="60"/>
      <c r="AB35" s="60"/>
    </row>
    <row r="36" spans="1:28" x14ac:dyDescent="0.3">
      <c r="B36" s="9"/>
      <c r="C36" s="42"/>
      <c r="D36" s="84"/>
      <c r="E36" s="61"/>
      <c r="F36" s="78" t="s">
        <v>57</v>
      </c>
      <c r="G36" s="43">
        <v>405500</v>
      </c>
      <c r="H36" s="61">
        <f>G36/100*94.5-B42</f>
        <v>-7136.8000000000466</v>
      </c>
      <c r="I36" s="82" t="s">
        <v>58</v>
      </c>
      <c r="J36" s="83">
        <v>45000</v>
      </c>
      <c r="L36" s="9"/>
      <c r="M36" s="9">
        <v>5.5</v>
      </c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>
        <v>5.5</v>
      </c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165000</v>
      </c>
      <c r="H38" s="61">
        <f>G38/100*95-B45</f>
        <v>-3976.5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0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821548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390334.30000000005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1424500</v>
      </c>
      <c r="H44" s="96">
        <f>SUM(H33:H43)</f>
        <v>-25631.300000000047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160726.5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>
        <v>357700</v>
      </c>
      <c r="H46" s="103">
        <f>G46/100*96</f>
        <v>343392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36852946.799999997</v>
      </c>
      <c r="C47" s="42"/>
      <c r="D47" s="26"/>
      <c r="E47" s="61"/>
      <c r="F47" s="101" t="s">
        <v>84</v>
      </c>
      <c r="G47" s="107">
        <v>357700</v>
      </c>
      <c r="H47" s="108">
        <f>G47</f>
        <v>357700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23650</v>
      </c>
      <c r="C49" s="42"/>
      <c r="D49" s="26"/>
      <c r="E49" s="61"/>
      <c r="F49" s="109" t="s">
        <v>88</v>
      </c>
      <c r="G49" s="107">
        <v>-164466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5365.5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169</v>
      </c>
      <c r="B51" s="61">
        <v>50000</v>
      </c>
      <c r="C51" s="42"/>
      <c r="D51" s="26"/>
      <c r="E51" s="61"/>
      <c r="F51" s="116" t="s">
        <v>90</v>
      </c>
      <c r="G51" s="117">
        <f>G47-H46-G48+G49</f>
        <v>-150158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 t="s">
        <v>170</v>
      </c>
      <c r="B52" s="14">
        <v>50000</v>
      </c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 t="s">
        <v>171</v>
      </c>
      <c r="B53" s="120">
        <v>400000</v>
      </c>
      <c r="C53" s="42"/>
      <c r="D53" s="54"/>
      <c r="E53" s="120"/>
      <c r="F53" s="125" t="s">
        <v>132</v>
      </c>
      <c r="G53" s="126"/>
      <c r="H53" s="127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 t="s">
        <v>172</v>
      </c>
      <c r="B54" s="14">
        <v>97300</v>
      </c>
      <c r="C54" s="42"/>
      <c r="D54" s="54"/>
      <c r="E54" s="120"/>
      <c r="F54" s="24" t="s">
        <v>92</v>
      </c>
      <c r="G54" s="43">
        <v>1339500</v>
      </c>
      <c r="H54" s="61">
        <f>G54/100*94.5</f>
        <v>1265827.5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 t="s">
        <v>173</v>
      </c>
      <c r="B55" s="14">
        <v>50000</v>
      </c>
      <c r="C55" s="42"/>
      <c r="D55" s="54"/>
      <c r="E55" s="120"/>
      <c r="F55" s="24" t="s">
        <v>93</v>
      </c>
      <c r="G55" s="43">
        <v>1480200</v>
      </c>
      <c r="H55" s="61">
        <f>-G55</f>
        <v>-1480200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24" t="s">
        <v>94</v>
      </c>
      <c r="G56" s="43">
        <v>226100</v>
      </c>
      <c r="H56" s="61">
        <f>G56</f>
        <v>226100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47"/>
      <c r="G57" s="172" t="s">
        <v>162</v>
      </c>
      <c r="H57" s="149">
        <f>SUM(H54:H56)</f>
        <v>11727.5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>
        <v>21800</v>
      </c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>
        <v>750</v>
      </c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676315.5</v>
      </c>
      <c r="C62" s="188"/>
      <c r="D62" s="141" t="s">
        <v>16</v>
      </c>
      <c r="E62" s="174">
        <f>SUM(E11:E61)</f>
        <v>215000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>
        <v>73200</v>
      </c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>
        <v>105150</v>
      </c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>
        <v>350000</v>
      </c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>
        <v>277500</v>
      </c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>
        <v>35000</v>
      </c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>
        <v>33000</v>
      </c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>
        <f>SUM(I62:I72)</f>
        <v>873850</v>
      </c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zoomScale="70" zoomScaleNormal="70" workbookViewId="0">
      <selection activeCell="H37" sqref="H37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28771219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50</v>
      </c>
      <c r="E2" s="14">
        <v>19460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18630</v>
      </c>
      <c r="C3" s="178"/>
      <c r="D3" s="11" t="s">
        <v>123</v>
      </c>
      <c r="E3" s="14">
        <v>1000000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1968220</v>
      </c>
      <c r="C4" s="178"/>
      <c r="D4" s="11" t="s">
        <v>164</v>
      </c>
      <c r="E4" s="14">
        <v>4870000</v>
      </c>
      <c r="F4" s="15" t="s">
        <v>9</v>
      </c>
      <c r="G4" s="15"/>
      <c r="H4" s="16"/>
      <c r="I4" s="17">
        <f>B47-E2-E4-E5-E6-E7-E8-E9-E10-E3-E97</f>
        <v>28704856.43</v>
      </c>
      <c r="J4" s="15"/>
      <c r="K4" s="16"/>
      <c r="L4" s="9"/>
    </row>
    <row r="5" spans="1:30" x14ac:dyDescent="0.3">
      <c r="A5" s="24" t="s">
        <v>12</v>
      </c>
      <c r="B5" s="61">
        <v>8400</v>
      </c>
      <c r="C5" s="178"/>
      <c r="D5" s="11"/>
      <c r="E5" s="14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13</v>
      </c>
      <c r="B6" s="61">
        <v>169000</v>
      </c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6" t="s">
        <v>15</v>
      </c>
      <c r="B7" s="61">
        <v>492000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6"/>
      <c r="B8" s="61"/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/>
      <c r="B9" s="61"/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75200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/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2000000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5541000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209">
        <v>46154</v>
      </c>
      <c r="G19" s="210">
        <v>97300</v>
      </c>
      <c r="H19" s="210" t="s">
        <v>165</v>
      </c>
      <c r="I19" s="210" t="s">
        <v>166</v>
      </c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414000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/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/>
      <c r="G22" s="51"/>
      <c r="H22" s="51">
        <v>44620</v>
      </c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20000</v>
      </c>
      <c r="C23" s="42"/>
      <c r="D23" s="52" t="s">
        <v>26</v>
      </c>
      <c r="E23" s="53"/>
      <c r="F23" s="9"/>
      <c r="G23" s="33"/>
      <c r="H23" s="9">
        <v>1923600</v>
      </c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591500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155</v>
      </c>
      <c r="E25" s="35">
        <v>10000</v>
      </c>
      <c r="F25" s="55" t="s">
        <v>30</v>
      </c>
      <c r="G25" s="56"/>
      <c r="H25" s="57"/>
      <c r="I25" s="58">
        <f>I1+B62-E62</f>
        <v>28706836.280000001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 t="s">
        <v>174</v>
      </c>
      <c r="E26" s="59">
        <v>20000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/>
      <c r="E27" s="61"/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/>
      <c r="E28" s="63"/>
      <c r="F28" s="64" t="s">
        <v>37</v>
      </c>
      <c r="G28" s="65"/>
      <c r="H28" s="66"/>
      <c r="I28" s="8">
        <f>I25-I4</f>
        <v>1979.8500000014901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/>
      <c r="E29" s="61"/>
      <c r="F29" s="67"/>
      <c r="G29" s="67"/>
      <c r="H29" s="66"/>
      <c r="I29" s="68"/>
      <c r="J29" s="66"/>
      <c r="K29" s="9"/>
      <c r="L29" s="9">
        <v>2896500</v>
      </c>
      <c r="M29" s="9"/>
      <c r="N29" s="9"/>
      <c r="O29" s="9"/>
      <c r="V29" s="29"/>
      <c r="Z29" s="60"/>
      <c r="AA29" s="60"/>
      <c r="AB29" s="60"/>
    </row>
    <row r="30" spans="1:29" x14ac:dyDescent="0.3">
      <c r="A30" s="183" t="s">
        <v>44</v>
      </c>
      <c r="B30" s="184">
        <v>281018</v>
      </c>
      <c r="C30" s="42"/>
      <c r="D30" s="26"/>
      <c r="E30" s="61"/>
      <c r="F30" s="67"/>
      <c r="G30" s="68"/>
      <c r="H30" s="9"/>
      <c r="I30" s="68"/>
      <c r="J30" s="66"/>
      <c r="K30" s="9"/>
      <c r="L30" s="9">
        <v>300000</v>
      </c>
      <c r="M30" s="9">
        <v>5.5</v>
      </c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52</v>
      </c>
      <c r="B31" s="61">
        <v>8950000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>
        <v>5.5</v>
      </c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54</v>
      </c>
      <c r="B32" s="61">
        <v>5000000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>
        <v>5</v>
      </c>
      <c r="N32" s="9"/>
      <c r="O32" s="9"/>
      <c r="Z32" s="60"/>
      <c r="AA32" s="60"/>
      <c r="AB32" s="60"/>
    </row>
    <row r="33" spans="1:28" ht="15" thickBot="1" x14ac:dyDescent="0.35">
      <c r="A33" s="26" t="s">
        <v>131</v>
      </c>
      <c r="B33" s="61">
        <v>2896500</v>
      </c>
      <c r="C33" s="42"/>
      <c r="D33" s="76"/>
      <c r="E33" s="77"/>
      <c r="F33" s="78" t="s">
        <v>51</v>
      </c>
      <c r="G33" s="43">
        <v>890300</v>
      </c>
      <c r="H33" s="61">
        <f>G33/100*94.8-B39</f>
        <v>-17004.729999999865</v>
      </c>
      <c r="I33" s="79"/>
      <c r="J33" s="80"/>
      <c r="L33" s="9"/>
      <c r="M33" s="9">
        <v>5</v>
      </c>
      <c r="N33" s="9"/>
      <c r="O33" s="9"/>
      <c r="Z33" s="60"/>
      <c r="AA33" s="60"/>
      <c r="AB33" s="60"/>
    </row>
    <row r="34" spans="1:28" x14ac:dyDescent="0.3">
      <c r="A34" s="10" t="s">
        <v>159</v>
      </c>
      <c r="B34" s="9">
        <v>451000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>
        <v>5</v>
      </c>
      <c r="N34" s="9"/>
      <c r="O34" s="9"/>
      <c r="Z34" s="60"/>
      <c r="AA34" s="60"/>
      <c r="AB34" s="60"/>
    </row>
    <row r="35" spans="1:28" x14ac:dyDescent="0.3">
      <c r="A35" s="26"/>
      <c r="B35" s="61"/>
      <c r="C35" s="42"/>
      <c r="D35" s="26"/>
      <c r="E35" s="61"/>
      <c r="F35" s="78" t="s">
        <v>11</v>
      </c>
      <c r="G35" s="43">
        <v>647650</v>
      </c>
      <c r="H35" s="61">
        <f>G35/100*94.5-B41</f>
        <v>-11010.050000000047</v>
      </c>
      <c r="I35" s="82" t="s">
        <v>55</v>
      </c>
      <c r="J35" s="83">
        <v>42000</v>
      </c>
      <c r="L35" s="9"/>
      <c r="M35" s="9">
        <v>5.5</v>
      </c>
      <c r="N35" s="9"/>
      <c r="O35" s="9"/>
      <c r="Z35" s="60"/>
      <c r="AA35" s="60"/>
      <c r="AB35" s="60"/>
    </row>
    <row r="36" spans="1:28" x14ac:dyDescent="0.3">
      <c r="B36" s="9"/>
      <c r="C36" s="42"/>
      <c r="D36" s="84"/>
      <c r="E36" s="61"/>
      <c r="F36" s="78" t="s">
        <v>57</v>
      </c>
      <c r="G36" s="43"/>
      <c r="H36" s="61">
        <f>G36/100*94.5-B42</f>
        <v>0</v>
      </c>
      <c r="I36" s="82" t="s">
        <v>58</v>
      </c>
      <c r="J36" s="83">
        <v>45000</v>
      </c>
      <c r="L36" s="9"/>
      <c r="M36" s="9">
        <v>5.5</v>
      </c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>
        <v>5.5</v>
      </c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/>
      <c r="H38" s="61">
        <f>G38/100*95-B45</f>
        <v>0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861009.12999999989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623039.30000000005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0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1537950</v>
      </c>
      <c r="H44" s="96">
        <f>SUM(H33:H43)</f>
        <v>-28014.779999999912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0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>
        <v>853500</v>
      </c>
      <c r="H46" s="103">
        <f>G46/100*96</f>
        <v>819360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34594316.43</v>
      </c>
      <c r="C47" s="42"/>
      <c r="D47" s="26"/>
      <c r="E47" s="61"/>
      <c r="F47" s="101" t="s">
        <v>84</v>
      </c>
      <c r="G47" s="107">
        <v>688500</v>
      </c>
      <c r="H47" s="108">
        <f>G47</f>
        <v>688500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28014.78</v>
      </c>
      <c r="C49" s="42"/>
      <c r="D49" s="26"/>
      <c r="E49" s="61"/>
      <c r="F49" s="109" t="s">
        <v>88</v>
      </c>
      <c r="G49" s="107">
        <v>-150158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12802.5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/>
      <c r="B51" s="61"/>
      <c r="C51" s="42"/>
      <c r="D51" s="26"/>
      <c r="E51" s="61"/>
      <c r="F51" s="116" t="s">
        <v>90</v>
      </c>
      <c r="G51" s="117">
        <f>G47-H46-G48+G49</f>
        <v>-281018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/>
      <c r="B52" s="14"/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/>
      <c r="B53" s="120"/>
      <c r="C53" s="42"/>
      <c r="D53" s="54"/>
      <c r="E53" s="120"/>
      <c r="F53" s="125" t="s">
        <v>140</v>
      </c>
      <c r="G53" s="126"/>
      <c r="H53" s="127"/>
      <c r="I53" s="9"/>
      <c r="J53" s="111">
        <v>4800</v>
      </c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/>
      <c r="B54" s="14"/>
      <c r="C54" s="42"/>
      <c r="D54" s="54"/>
      <c r="E54" s="120"/>
      <c r="F54" s="24" t="s">
        <v>92</v>
      </c>
      <c r="G54" s="43">
        <v>1361150</v>
      </c>
      <c r="H54" s="61">
        <f>G54/100*94.5</f>
        <v>1286286.75</v>
      </c>
      <c r="I54" s="104"/>
      <c r="J54" s="104">
        <v>4450</v>
      </c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24" t="s">
        <v>93</v>
      </c>
      <c r="G55" s="43">
        <v>1278550</v>
      </c>
      <c r="H55" s="61">
        <f>-G55</f>
        <v>-1278550</v>
      </c>
      <c r="I55" s="9"/>
      <c r="J55" s="9">
        <f>SUM(J53:J54)</f>
        <v>9250</v>
      </c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24" t="s">
        <v>94</v>
      </c>
      <c r="G56" s="43">
        <v>11727.5</v>
      </c>
      <c r="H56" s="61">
        <f>G56</f>
        <v>11727.5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47"/>
      <c r="G57" s="172" t="s">
        <v>162</v>
      </c>
      <c r="H57" s="149">
        <f>SUM(H54:H56)</f>
        <v>19464.25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40817.279999999999</v>
      </c>
      <c r="C62" s="188"/>
      <c r="D62" s="141" t="s">
        <v>16</v>
      </c>
      <c r="E62" s="174">
        <f>SUM(E11:E61)</f>
        <v>105200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topLeftCell="A5" workbookViewId="0">
      <selection activeCell="D26" sqref="D26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28704856.43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50</v>
      </c>
      <c r="E2" s="14">
        <v>14418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1030</v>
      </c>
      <c r="C3" s="178"/>
      <c r="D3" s="11" t="s">
        <v>164</v>
      </c>
      <c r="E3" s="14">
        <v>4870000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3395100</v>
      </c>
      <c r="C4" s="178"/>
      <c r="D4" s="11" t="s">
        <v>141</v>
      </c>
      <c r="E4" s="14">
        <v>400000</v>
      </c>
      <c r="F4" s="15" t="s">
        <v>9</v>
      </c>
      <c r="G4" s="15"/>
      <c r="H4" s="16"/>
      <c r="I4" s="17">
        <f>B47-E2-E4-E5-E6-E7-E8-E9-E10-E3-E97</f>
        <v>29153214.859999999</v>
      </c>
      <c r="J4" s="15"/>
      <c r="K4" s="16"/>
      <c r="L4" s="9"/>
    </row>
    <row r="5" spans="1:30" x14ac:dyDescent="0.3">
      <c r="A5" s="24" t="s">
        <v>12</v>
      </c>
      <c r="B5" s="61">
        <v>8400</v>
      </c>
      <c r="C5" s="178"/>
      <c r="D5" s="11" t="s">
        <v>131</v>
      </c>
      <c r="E5" s="14">
        <v>2193275</v>
      </c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13</v>
      </c>
      <c r="B6" s="61">
        <v>169000</v>
      </c>
      <c r="C6" s="178"/>
      <c r="D6" s="24" t="s">
        <v>152</v>
      </c>
      <c r="E6" s="14">
        <v>720000</v>
      </c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6" t="s">
        <v>15</v>
      </c>
      <c r="B7" s="61">
        <v>489000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6"/>
      <c r="B8" s="61"/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/>
      <c r="B9" s="61"/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52900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>
        <v>487000</v>
      </c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>
        <v>6600000</v>
      </c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5541000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209">
        <v>46154</v>
      </c>
      <c r="G19" s="210">
        <v>97300</v>
      </c>
      <c r="H19" s="210" t="s">
        <v>165</v>
      </c>
      <c r="I19" s="210" t="s">
        <v>166</v>
      </c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414000</v>
      </c>
      <c r="C20" s="42"/>
      <c r="D20" s="26"/>
      <c r="E20" s="35"/>
      <c r="F20" s="48">
        <v>1468500</v>
      </c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>
        <v>1926600</v>
      </c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>
        <f>SUM(F20:F21)</f>
        <v>3395100</v>
      </c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20000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570000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175</v>
      </c>
      <c r="E25" s="35">
        <v>2500</v>
      </c>
      <c r="F25" s="55" t="s">
        <v>30</v>
      </c>
      <c r="G25" s="56"/>
      <c r="H25" s="57"/>
      <c r="I25" s="58">
        <f>I1+B62-E62</f>
        <v>28667181.43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/>
      <c r="E26" s="59"/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/>
      <c r="E27" s="61"/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/>
      <c r="E28" s="63"/>
      <c r="F28" s="64" t="s">
        <v>37</v>
      </c>
      <c r="G28" s="65"/>
      <c r="H28" s="66"/>
      <c r="I28" s="8">
        <f>I25-I4</f>
        <v>-486033.4299999997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/>
      <c r="E29" s="61"/>
      <c r="F29" s="67"/>
      <c r="G29" s="67"/>
      <c r="H29" s="66"/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x14ac:dyDescent="0.3">
      <c r="A30" s="183" t="s">
        <v>44</v>
      </c>
      <c r="B30" s="184">
        <v>281018</v>
      </c>
      <c r="C30" s="42"/>
      <c r="D30" s="26"/>
      <c r="E30" s="61"/>
      <c r="F30" s="67"/>
      <c r="G30" s="68"/>
      <c r="H30" s="9"/>
      <c r="I30" s="68"/>
      <c r="J30" s="66"/>
      <c r="K30" s="9"/>
      <c r="L30" s="9"/>
      <c r="M30" s="9">
        <v>5.5</v>
      </c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52</v>
      </c>
      <c r="B31" s="61">
        <v>5450000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>
        <v>5.5</v>
      </c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54</v>
      </c>
      <c r="B32" s="61">
        <v>5000000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>
        <v>5</v>
      </c>
      <c r="N32" s="9"/>
      <c r="O32" s="9"/>
      <c r="Z32" s="60"/>
      <c r="AA32" s="60"/>
      <c r="AB32" s="60"/>
    </row>
    <row r="33" spans="1:28" ht="15" thickBot="1" x14ac:dyDescent="0.35">
      <c r="A33" s="26" t="s">
        <v>131</v>
      </c>
      <c r="B33" s="61">
        <v>3196500</v>
      </c>
      <c r="C33" s="42"/>
      <c r="D33" s="76"/>
      <c r="E33" s="77"/>
      <c r="F33" s="78" t="s">
        <v>51</v>
      </c>
      <c r="G33" s="43">
        <v>783000</v>
      </c>
      <c r="H33" s="61">
        <f>G33/100*95-B39</f>
        <v>-13389.29999999993</v>
      </c>
      <c r="I33" s="79"/>
      <c r="J33" s="80"/>
      <c r="L33" s="9"/>
      <c r="M33" s="9">
        <v>5</v>
      </c>
      <c r="N33" s="9"/>
      <c r="O33" s="9"/>
      <c r="Z33" s="60"/>
      <c r="AA33" s="60"/>
      <c r="AB33" s="60"/>
    </row>
    <row r="34" spans="1:28" x14ac:dyDescent="0.3">
      <c r="A34" s="10" t="s">
        <v>159</v>
      </c>
      <c r="B34" s="9">
        <v>451000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>
        <v>5</v>
      </c>
      <c r="N34" s="9"/>
      <c r="O34" s="9"/>
      <c r="Z34" s="60"/>
      <c r="AA34" s="60"/>
      <c r="AB34" s="60"/>
    </row>
    <row r="35" spans="1:28" x14ac:dyDescent="0.3">
      <c r="A35" s="26"/>
      <c r="B35" s="61"/>
      <c r="C35" s="42"/>
      <c r="D35" s="26"/>
      <c r="E35" s="61"/>
      <c r="F35" s="78" t="s">
        <v>11</v>
      </c>
      <c r="G35" s="43">
        <v>120000</v>
      </c>
      <c r="H35" s="61">
        <f>G35/100*94.5-B41</f>
        <v>-2040</v>
      </c>
      <c r="I35" s="82" t="s">
        <v>55</v>
      </c>
      <c r="J35" s="83">
        <v>42000</v>
      </c>
      <c r="L35" s="9"/>
      <c r="M35" s="9">
        <v>5.5</v>
      </c>
      <c r="N35" s="9"/>
      <c r="O35" s="9"/>
      <c r="Z35" s="60"/>
      <c r="AA35" s="60"/>
      <c r="AB35" s="60"/>
    </row>
    <row r="36" spans="1:28" x14ac:dyDescent="0.3">
      <c r="B36" s="9"/>
      <c r="C36" s="42"/>
      <c r="D36" s="84"/>
      <c r="E36" s="61"/>
      <c r="F36" s="78" t="s">
        <v>57</v>
      </c>
      <c r="G36" s="43">
        <v>51850</v>
      </c>
      <c r="H36" s="61">
        <f>G36/100*94.5-B42</f>
        <v>-912.56000000000495</v>
      </c>
      <c r="I36" s="82" t="s">
        <v>58</v>
      </c>
      <c r="J36" s="83">
        <v>45000</v>
      </c>
      <c r="L36" s="9"/>
      <c r="M36" s="9">
        <v>5.5</v>
      </c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>
        <v>5.5</v>
      </c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47500</v>
      </c>
      <c r="H38" s="61">
        <f>G38/100*94.5-B45</f>
        <v>-1382.25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757239.29999999993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115440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49910.810000000005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1002350</v>
      </c>
      <c r="H44" s="96">
        <f>SUM(H33:H43)</f>
        <v>-17724.109999999935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46269.75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/>
      <c r="H46" s="103">
        <f>G46/100*96</f>
        <v>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37350907.859999999</v>
      </c>
      <c r="C47" s="42"/>
      <c r="D47" s="26"/>
      <c r="E47" s="61"/>
      <c r="F47" s="101" t="s">
        <v>84</v>
      </c>
      <c r="G47" s="107"/>
      <c r="H47" s="108">
        <f>G47</f>
        <v>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17725</v>
      </c>
      <c r="C49" s="42"/>
      <c r="D49" s="26"/>
      <c r="E49" s="61"/>
      <c r="F49" s="109" t="s">
        <v>88</v>
      </c>
      <c r="G49" s="107">
        <v>-281018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0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/>
      <c r="B51" s="61"/>
      <c r="C51" s="42"/>
      <c r="D51" s="26"/>
      <c r="E51" s="61"/>
      <c r="F51" s="116" t="s">
        <v>90</v>
      </c>
      <c r="G51" s="117">
        <f>G47-H46-G48+G49</f>
        <v>-281018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/>
      <c r="B52" s="14"/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/>
      <c r="B53" s="120"/>
      <c r="C53" s="42"/>
      <c r="D53" s="54"/>
      <c r="E53" s="120"/>
      <c r="F53" s="125" t="s">
        <v>148</v>
      </c>
      <c r="G53" s="126"/>
      <c r="H53" s="127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/>
      <c r="B54" s="14"/>
      <c r="C54" s="42"/>
      <c r="D54" s="54"/>
      <c r="E54" s="120"/>
      <c r="F54" s="24" t="s">
        <v>92</v>
      </c>
      <c r="G54" s="43">
        <v>219850</v>
      </c>
      <c r="H54" s="61">
        <f>G54/100*94.5</f>
        <v>207758.25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24" t="s">
        <v>93</v>
      </c>
      <c r="G55" s="43">
        <v>212800</v>
      </c>
      <c r="H55" s="61">
        <f>-G55</f>
        <v>-212800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24" t="s">
        <v>94</v>
      </c>
      <c r="G56" s="43">
        <v>19460</v>
      </c>
      <c r="H56" s="61">
        <f>G56</f>
        <v>19460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47"/>
      <c r="G57" s="172" t="s">
        <v>162</v>
      </c>
      <c r="H57" s="149">
        <f>SUM(H54:H56)</f>
        <v>14418.25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17725</v>
      </c>
      <c r="C62" s="188"/>
      <c r="D62" s="141" t="s">
        <v>16</v>
      </c>
      <c r="E62" s="174">
        <f>SUM(E11:E61)</f>
        <v>55400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/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1:F52"/>
    <mergeCell ref="G51:H52"/>
    <mergeCell ref="F53:H53"/>
    <mergeCell ref="F58:H58"/>
    <mergeCell ref="X60:Z60"/>
    <mergeCell ref="D64:E64"/>
    <mergeCell ref="F1:G1"/>
    <mergeCell ref="F4:H18"/>
    <mergeCell ref="I4:K18"/>
    <mergeCell ref="F25:G25"/>
    <mergeCell ref="F28:G28"/>
    <mergeCell ref="AA50:AB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7"/>
  <sheetViews>
    <sheetView workbookViewId="0">
      <selection activeCell="D20" sqref="D20"/>
    </sheetView>
  </sheetViews>
  <sheetFormatPr defaultColWidth="8.88671875" defaultRowHeight="14.4" x14ac:dyDescent="0.3"/>
  <cols>
    <col min="1" max="1" width="40.5546875" style="10" customWidth="1"/>
    <col min="2" max="2" width="28.44140625" style="10" customWidth="1"/>
    <col min="3" max="3" width="6" style="167" customWidth="1"/>
    <col min="4" max="4" width="32.5546875" style="10" customWidth="1"/>
    <col min="5" max="5" width="20.5546875" style="10" customWidth="1"/>
    <col min="6" max="6" width="26.77734375" style="10" customWidth="1"/>
    <col min="7" max="7" width="20" style="10" customWidth="1"/>
    <col min="8" max="8" width="33.88671875" style="10" customWidth="1"/>
    <col min="9" max="9" width="25.21875" style="10" customWidth="1"/>
    <col min="10" max="10" width="17.33203125" style="10" customWidth="1"/>
    <col min="11" max="11" width="14.6640625" style="10" customWidth="1"/>
    <col min="12" max="12" width="18" style="10" customWidth="1"/>
    <col min="13" max="13" width="27.33203125" style="10" customWidth="1"/>
    <col min="14" max="15" width="19" style="10" customWidth="1"/>
    <col min="16" max="16" width="23.44140625" style="10" customWidth="1"/>
    <col min="17" max="19" width="8.88671875" style="10"/>
    <col min="20" max="20" width="8.6640625" style="10" customWidth="1"/>
    <col min="21" max="21" width="62.44140625" style="10" customWidth="1"/>
    <col min="22" max="22" width="24.88671875" style="10" customWidth="1"/>
    <col min="23" max="25" width="8.88671875" style="10"/>
    <col min="26" max="26" width="17.44140625" style="10" customWidth="1"/>
    <col min="27" max="27" width="14" style="10" customWidth="1"/>
    <col min="28" max="28" width="8.88671875" style="10"/>
    <col min="29" max="29" width="13.6640625" style="10" customWidth="1"/>
    <col min="30" max="16384" width="8.88671875" style="10"/>
  </cols>
  <sheetData>
    <row r="1" spans="1:30" ht="14.4" customHeight="1" thickBot="1" x14ac:dyDescent="0.35">
      <c r="A1" s="1" t="s">
        <v>0</v>
      </c>
      <c r="B1" s="176"/>
      <c r="C1" s="177"/>
      <c r="D1" s="1" t="s">
        <v>1</v>
      </c>
      <c r="E1" s="4"/>
      <c r="F1" s="5" t="s">
        <v>2</v>
      </c>
      <c r="G1" s="6"/>
      <c r="H1" s="7"/>
      <c r="I1" s="8">
        <v>28666214</v>
      </c>
      <c r="J1" s="7"/>
      <c r="K1" s="7"/>
      <c r="L1" s="9"/>
      <c r="AD1" s="10">
        <f ca="1">AD:AE</f>
        <v>0</v>
      </c>
    </row>
    <row r="2" spans="1:30" ht="14.4" customHeight="1" x14ac:dyDescent="0.3">
      <c r="A2" s="11" t="s">
        <v>3</v>
      </c>
      <c r="B2" s="14"/>
      <c r="C2" s="178"/>
      <c r="D2" s="11" t="s">
        <v>50</v>
      </c>
      <c r="E2" s="14">
        <v>33583.35</v>
      </c>
      <c r="F2" s="7"/>
      <c r="G2" s="7"/>
      <c r="H2" s="7"/>
      <c r="I2" s="7"/>
      <c r="J2" s="7"/>
      <c r="K2" s="7" t="s">
        <v>5</v>
      </c>
      <c r="L2" s="9"/>
    </row>
    <row r="3" spans="1:30" ht="14.4" customHeight="1" thickBot="1" x14ac:dyDescent="0.35">
      <c r="A3" s="11" t="s">
        <v>6</v>
      </c>
      <c r="B3" s="14">
        <v>170830</v>
      </c>
      <c r="C3" s="178"/>
      <c r="D3" s="11" t="s">
        <v>24</v>
      </c>
      <c r="E3" s="14">
        <v>300000</v>
      </c>
      <c r="F3" s="7"/>
      <c r="G3" s="7"/>
      <c r="H3" s="7"/>
      <c r="I3" s="7"/>
      <c r="J3" s="7"/>
      <c r="K3" s="7"/>
      <c r="L3" s="9"/>
    </row>
    <row r="4" spans="1:30" x14ac:dyDescent="0.3">
      <c r="A4" s="11" t="s">
        <v>8</v>
      </c>
      <c r="B4" s="14">
        <v>3153150</v>
      </c>
      <c r="C4" s="178"/>
      <c r="D4" s="11"/>
      <c r="E4" s="14"/>
      <c r="F4" s="15" t="s">
        <v>9</v>
      </c>
      <c r="G4" s="15"/>
      <c r="H4" s="16"/>
      <c r="I4" s="17">
        <f>B47-E2-E4-E5-E6-E7-E8-E9-E10-E3-E97</f>
        <v>28457630.680750001</v>
      </c>
      <c r="J4" s="15"/>
      <c r="K4" s="16"/>
      <c r="L4" s="9"/>
    </row>
    <row r="5" spans="1:30" x14ac:dyDescent="0.3">
      <c r="A5" s="24" t="s">
        <v>12</v>
      </c>
      <c r="B5" s="61">
        <v>8400</v>
      </c>
      <c r="C5" s="178"/>
      <c r="D5" s="11"/>
      <c r="E5" s="14"/>
      <c r="F5" s="21"/>
      <c r="G5" s="21"/>
      <c r="H5" s="22"/>
      <c r="I5" s="23"/>
      <c r="J5" s="21"/>
      <c r="K5" s="22"/>
      <c r="L5" s="9"/>
    </row>
    <row r="6" spans="1:30" x14ac:dyDescent="0.3">
      <c r="A6" s="24" t="s">
        <v>13</v>
      </c>
      <c r="B6" s="61">
        <v>169000</v>
      </c>
      <c r="C6" s="178"/>
      <c r="D6" s="24"/>
      <c r="E6" s="14"/>
      <c r="F6" s="21"/>
      <c r="G6" s="21"/>
      <c r="H6" s="22"/>
      <c r="I6" s="23"/>
      <c r="J6" s="21"/>
      <c r="K6" s="22"/>
      <c r="L6" s="9"/>
      <c r="M6" s="9"/>
    </row>
    <row r="7" spans="1:30" x14ac:dyDescent="0.3">
      <c r="A7" s="26" t="s">
        <v>15</v>
      </c>
      <c r="B7" s="61">
        <v>2000</v>
      </c>
      <c r="C7" s="178"/>
      <c r="D7" s="11"/>
      <c r="E7" s="14"/>
      <c r="F7" s="21"/>
      <c r="G7" s="21"/>
      <c r="H7" s="22"/>
      <c r="I7" s="23"/>
      <c r="J7" s="21"/>
      <c r="K7" s="22"/>
      <c r="L7" s="9"/>
      <c r="M7" s="9"/>
      <c r="O7" s="9"/>
    </row>
    <row r="8" spans="1:30" ht="13.95" customHeight="1" x14ac:dyDescent="0.3">
      <c r="A8" s="26" t="s">
        <v>163</v>
      </c>
      <c r="B8" s="61">
        <v>3000250</v>
      </c>
      <c r="C8" s="178"/>
      <c r="D8" s="11" t="s">
        <v>14</v>
      </c>
      <c r="E8" s="14"/>
      <c r="F8" s="21"/>
      <c r="G8" s="21"/>
      <c r="H8" s="22"/>
      <c r="I8" s="23"/>
      <c r="J8" s="21"/>
      <c r="K8" s="22"/>
      <c r="L8" s="9"/>
      <c r="M8" s="9"/>
      <c r="O8" s="9"/>
    </row>
    <row r="9" spans="1:30" ht="15" thickBot="1" x14ac:dyDescent="0.35">
      <c r="A9" s="26" t="s">
        <v>176</v>
      </c>
      <c r="B9" s="61">
        <v>2185740</v>
      </c>
      <c r="C9" s="178"/>
      <c r="D9" s="27" t="s">
        <v>14</v>
      </c>
      <c r="E9" s="28"/>
      <c r="F9" s="21"/>
      <c r="G9" s="21"/>
      <c r="H9" s="22"/>
      <c r="I9" s="23"/>
      <c r="J9" s="21"/>
      <c r="K9" s="22"/>
      <c r="L9" s="9"/>
      <c r="M9" s="9"/>
      <c r="O9" s="9"/>
      <c r="AC9" s="29"/>
    </row>
    <row r="10" spans="1:30" x14ac:dyDescent="0.3">
      <c r="A10" s="24"/>
      <c r="B10" s="61"/>
      <c r="C10" s="42"/>
      <c r="D10" s="31" t="s">
        <v>16</v>
      </c>
      <c r="E10" s="32"/>
      <c r="F10" s="21"/>
      <c r="G10" s="21"/>
      <c r="H10" s="22"/>
      <c r="I10" s="23"/>
      <c r="J10" s="21"/>
      <c r="K10" s="22"/>
      <c r="L10" s="9"/>
      <c r="M10" s="9"/>
      <c r="O10" s="9"/>
      <c r="AC10" s="29"/>
    </row>
    <row r="11" spans="1:30" x14ac:dyDescent="0.3">
      <c r="A11" s="26"/>
      <c r="B11" s="61"/>
      <c r="C11" s="42"/>
      <c r="D11" s="11" t="s">
        <v>17</v>
      </c>
      <c r="E11" s="14">
        <v>93900</v>
      </c>
      <c r="F11" s="21"/>
      <c r="G11" s="21"/>
      <c r="H11" s="22"/>
      <c r="I11" s="23"/>
      <c r="J11" s="21"/>
      <c r="K11" s="22"/>
      <c r="L11" s="9"/>
      <c r="M11" s="9"/>
      <c r="O11" s="9"/>
      <c r="V11" s="29"/>
      <c r="AC11" s="29"/>
    </row>
    <row r="12" spans="1:30" x14ac:dyDescent="0.3">
      <c r="A12" s="62"/>
      <c r="B12" s="180"/>
      <c r="C12" s="42"/>
      <c r="D12" s="34"/>
      <c r="E12" s="35"/>
      <c r="F12" s="21"/>
      <c r="G12" s="21"/>
      <c r="H12" s="22"/>
      <c r="I12" s="23"/>
      <c r="J12" s="21"/>
      <c r="K12" s="22"/>
      <c r="L12" s="9"/>
      <c r="M12" s="9"/>
      <c r="N12" s="9"/>
      <c r="O12" s="9"/>
      <c r="V12" s="29"/>
      <c r="AC12" s="29"/>
    </row>
    <row r="13" spans="1:30" x14ac:dyDescent="0.3">
      <c r="A13" s="26"/>
      <c r="B13" s="86"/>
      <c r="C13" s="42"/>
      <c r="D13" s="26"/>
      <c r="E13" s="35"/>
      <c r="F13" s="21"/>
      <c r="G13" s="21"/>
      <c r="H13" s="22"/>
      <c r="I13" s="23"/>
      <c r="J13" s="21"/>
      <c r="K13" s="22"/>
      <c r="L13" s="9"/>
      <c r="M13" s="9"/>
      <c r="N13" s="37"/>
      <c r="O13" s="9"/>
      <c r="V13" s="29"/>
      <c r="AC13" s="29"/>
    </row>
    <row r="14" spans="1:30" x14ac:dyDescent="0.3">
      <c r="A14" s="24"/>
      <c r="B14" s="181"/>
      <c r="C14" s="42"/>
      <c r="D14" s="26"/>
      <c r="E14" s="35"/>
      <c r="F14" s="21"/>
      <c r="G14" s="21"/>
      <c r="H14" s="22"/>
      <c r="I14" s="23"/>
      <c r="J14" s="21"/>
      <c r="K14" s="22"/>
      <c r="L14" s="9"/>
      <c r="M14" s="9"/>
      <c r="O14" s="37"/>
      <c r="V14" s="29"/>
      <c r="AC14" s="29"/>
    </row>
    <row r="15" spans="1:30" x14ac:dyDescent="0.3">
      <c r="A15" s="39" t="s">
        <v>18</v>
      </c>
      <c r="B15" s="182"/>
      <c r="C15" s="42"/>
      <c r="D15" s="26"/>
      <c r="E15" s="35"/>
      <c r="F15" s="21"/>
      <c r="G15" s="21"/>
      <c r="H15" s="22"/>
      <c r="I15" s="23"/>
      <c r="J15" s="21"/>
      <c r="K15" s="22"/>
      <c r="L15" s="9"/>
      <c r="M15" s="9"/>
      <c r="N15" s="9"/>
      <c r="V15" s="29"/>
      <c r="AC15" s="29"/>
    </row>
    <row r="16" spans="1:30" x14ac:dyDescent="0.3">
      <c r="A16" s="11" t="s">
        <v>19</v>
      </c>
      <c r="B16" s="14"/>
      <c r="C16" s="42"/>
      <c r="D16" s="26" t="s">
        <v>14</v>
      </c>
      <c r="E16" s="35"/>
      <c r="F16" s="21"/>
      <c r="G16" s="21"/>
      <c r="H16" s="22"/>
      <c r="I16" s="23"/>
      <c r="J16" s="21"/>
      <c r="K16" s="22"/>
      <c r="L16" s="9"/>
      <c r="M16" s="9"/>
      <c r="N16" s="9"/>
      <c r="V16" s="29"/>
      <c r="AC16" s="29"/>
    </row>
    <row r="17" spans="1:29" x14ac:dyDescent="0.3">
      <c r="A17" s="24" t="s">
        <v>20</v>
      </c>
      <c r="B17" s="61">
        <v>5541000</v>
      </c>
      <c r="C17" s="42"/>
      <c r="D17" s="26"/>
      <c r="E17" s="35"/>
      <c r="F17" s="21"/>
      <c r="G17" s="21"/>
      <c r="H17" s="22"/>
      <c r="I17" s="23"/>
      <c r="J17" s="21"/>
      <c r="K17" s="22"/>
      <c r="L17" s="9"/>
      <c r="M17" s="9"/>
      <c r="N17" s="9"/>
      <c r="O17" s="44"/>
      <c r="V17" s="29"/>
      <c r="AC17" s="29"/>
    </row>
    <row r="18" spans="1:29" ht="15" thickBot="1" x14ac:dyDescent="0.35">
      <c r="A18" s="24" t="s">
        <v>21</v>
      </c>
      <c r="B18" s="61">
        <v>270000</v>
      </c>
      <c r="C18" s="42"/>
      <c r="D18" s="26"/>
      <c r="E18" s="35"/>
      <c r="F18" s="45"/>
      <c r="G18" s="45"/>
      <c r="H18" s="46"/>
      <c r="I18" s="47"/>
      <c r="J18" s="45"/>
      <c r="K18" s="46"/>
      <c r="L18" s="9"/>
      <c r="M18" s="9"/>
      <c r="N18" s="9"/>
      <c r="V18" s="29"/>
      <c r="AC18" s="29"/>
    </row>
    <row r="19" spans="1:29" x14ac:dyDescent="0.3">
      <c r="A19" s="24" t="s">
        <v>22</v>
      </c>
      <c r="B19" s="61">
        <v>250000</v>
      </c>
      <c r="C19" s="42"/>
      <c r="D19" s="26"/>
      <c r="E19" s="35"/>
      <c r="F19" s="209">
        <v>46154</v>
      </c>
      <c r="G19" s="210">
        <v>97300</v>
      </c>
      <c r="H19" s="210" t="s">
        <v>165</v>
      </c>
      <c r="I19" s="210" t="s">
        <v>166</v>
      </c>
      <c r="J19" s="48"/>
      <c r="K19" s="48"/>
      <c r="L19" s="9"/>
      <c r="M19" s="9"/>
      <c r="N19" s="9"/>
      <c r="V19" s="29"/>
      <c r="AC19" s="29"/>
    </row>
    <row r="20" spans="1:29" x14ac:dyDescent="0.3">
      <c r="A20" s="26" t="s">
        <v>23</v>
      </c>
      <c r="B20" s="61">
        <v>414000</v>
      </c>
      <c r="C20" s="42"/>
      <c r="D20" s="26"/>
      <c r="E20" s="35"/>
      <c r="F20" s="48"/>
      <c r="G20" s="48"/>
      <c r="H20" s="48"/>
      <c r="I20" s="48"/>
      <c r="J20" s="48"/>
      <c r="K20" s="48"/>
      <c r="L20" s="9"/>
      <c r="M20" s="9"/>
      <c r="N20" s="9"/>
      <c r="V20" s="29"/>
      <c r="AC20" s="29"/>
    </row>
    <row r="21" spans="1:29" x14ac:dyDescent="0.3">
      <c r="A21" s="26" t="s">
        <v>24</v>
      </c>
      <c r="B21" s="61">
        <v>2150000</v>
      </c>
      <c r="C21" s="42"/>
      <c r="D21" s="26"/>
      <c r="E21" s="35"/>
      <c r="F21" s="48"/>
      <c r="G21" s="48"/>
      <c r="H21" s="48"/>
      <c r="I21" s="48"/>
      <c r="J21" s="48"/>
      <c r="K21" s="48"/>
      <c r="L21" s="9"/>
      <c r="M21" s="9"/>
      <c r="N21" s="9"/>
      <c r="V21" s="29"/>
      <c r="AC21" s="29"/>
    </row>
    <row r="22" spans="1:29" x14ac:dyDescent="0.3">
      <c r="A22" s="26" t="s">
        <v>25</v>
      </c>
      <c r="B22" s="61">
        <v>75000</v>
      </c>
      <c r="C22" s="42"/>
      <c r="D22" s="26"/>
      <c r="E22" s="50"/>
      <c r="F22" s="51"/>
      <c r="G22" s="51"/>
      <c r="H22" s="51"/>
      <c r="I22" s="9"/>
      <c r="J22" s="9"/>
      <c r="K22" s="9"/>
      <c r="L22" s="9"/>
      <c r="M22" s="9"/>
      <c r="N22" s="9"/>
      <c r="V22" s="29"/>
    </row>
    <row r="23" spans="1:29" x14ac:dyDescent="0.3">
      <c r="A23" s="24" t="s">
        <v>27</v>
      </c>
      <c r="B23" s="61">
        <v>120000</v>
      </c>
      <c r="C23" s="42"/>
      <c r="D23" s="52" t="s">
        <v>26</v>
      </c>
      <c r="E23" s="53"/>
      <c r="F23" s="9"/>
      <c r="G23" s="33"/>
      <c r="H23" s="9"/>
      <c r="I23" s="9"/>
      <c r="J23" s="9"/>
      <c r="K23" s="9"/>
      <c r="L23" s="9"/>
      <c r="M23" s="9"/>
      <c r="N23" s="9"/>
      <c r="O23" s="9"/>
      <c r="V23" s="29"/>
    </row>
    <row r="24" spans="1:29" ht="15" thickBot="1" x14ac:dyDescent="0.35">
      <c r="A24" s="26" t="s">
        <v>28</v>
      </c>
      <c r="B24" s="61">
        <v>570000</v>
      </c>
      <c r="C24" s="42"/>
      <c r="D24" s="54" t="s">
        <v>26</v>
      </c>
      <c r="E24" s="14"/>
      <c r="F24" s="9"/>
      <c r="G24" s="9"/>
      <c r="H24" s="9"/>
      <c r="I24" s="9"/>
      <c r="J24" s="9"/>
      <c r="K24" s="9"/>
      <c r="L24" s="37"/>
      <c r="M24" s="9"/>
      <c r="N24" s="9"/>
      <c r="O24" s="9"/>
      <c r="V24" s="29"/>
    </row>
    <row r="25" spans="1:29" ht="15" thickBot="1" x14ac:dyDescent="0.35">
      <c r="A25" s="26" t="s">
        <v>31</v>
      </c>
      <c r="B25" s="61">
        <v>1151000</v>
      </c>
      <c r="C25" s="42"/>
      <c r="D25" s="26" t="s">
        <v>177</v>
      </c>
      <c r="E25" s="35">
        <v>5000</v>
      </c>
      <c r="F25" s="55" t="s">
        <v>30</v>
      </c>
      <c r="G25" s="56"/>
      <c r="H25" s="57"/>
      <c r="I25" s="58">
        <f>I1+B62-E62</f>
        <v>28458014</v>
      </c>
      <c r="J25" s="57"/>
      <c r="K25" s="37"/>
      <c r="L25" s="9"/>
      <c r="M25" s="9"/>
      <c r="N25" s="9"/>
      <c r="O25" s="9"/>
      <c r="V25" s="29"/>
    </row>
    <row r="26" spans="1:29" x14ac:dyDescent="0.3">
      <c r="A26" s="26" t="s">
        <v>33</v>
      </c>
      <c r="B26" s="61">
        <v>52000</v>
      </c>
      <c r="C26" s="42"/>
      <c r="D26" s="26" t="s">
        <v>29</v>
      </c>
      <c r="E26" s="59">
        <v>370000</v>
      </c>
      <c r="F26" s="57"/>
      <c r="G26" s="57"/>
      <c r="H26" s="57"/>
      <c r="I26" s="57"/>
      <c r="J26" s="57"/>
      <c r="K26" s="37"/>
      <c r="L26" s="9"/>
      <c r="M26" s="9"/>
      <c r="N26" s="9"/>
      <c r="O26" s="9"/>
      <c r="V26" s="29"/>
      <c r="Z26" s="60"/>
      <c r="AA26" s="60"/>
      <c r="AB26" s="60"/>
    </row>
    <row r="27" spans="1:29" ht="15" thickBot="1" x14ac:dyDescent="0.35">
      <c r="A27" s="26" t="s">
        <v>35</v>
      </c>
      <c r="B27" s="61">
        <v>161000</v>
      </c>
      <c r="C27" s="42"/>
      <c r="D27" s="26" t="s">
        <v>178</v>
      </c>
      <c r="E27" s="61">
        <v>43000</v>
      </c>
      <c r="F27" s="57"/>
      <c r="G27" s="57"/>
      <c r="H27" s="57"/>
      <c r="I27" s="57"/>
      <c r="J27" s="57"/>
      <c r="K27" s="37"/>
      <c r="L27" s="9"/>
      <c r="M27" s="9"/>
      <c r="N27" s="9"/>
      <c r="O27" s="9"/>
      <c r="V27" s="29"/>
      <c r="Z27" s="60"/>
      <c r="AA27" s="60"/>
      <c r="AB27" s="60"/>
    </row>
    <row r="28" spans="1:29" ht="15" thickBot="1" x14ac:dyDescent="0.35">
      <c r="A28" s="26" t="s">
        <v>38</v>
      </c>
      <c r="B28" s="61">
        <v>50000</v>
      </c>
      <c r="C28" s="42"/>
      <c r="D28" s="62"/>
      <c r="E28" s="63"/>
      <c r="F28" s="64" t="s">
        <v>37</v>
      </c>
      <c r="G28" s="65"/>
      <c r="H28" s="66"/>
      <c r="I28" s="8">
        <f>I25-I4</f>
        <v>383.3192499987781</v>
      </c>
      <c r="J28" s="66"/>
      <c r="K28" s="9"/>
      <c r="L28" s="9"/>
      <c r="M28" s="9"/>
      <c r="N28" s="9"/>
      <c r="O28" s="9"/>
      <c r="V28" s="29"/>
      <c r="Z28" s="60"/>
      <c r="AA28" s="60"/>
      <c r="AB28" s="60"/>
    </row>
    <row r="29" spans="1:29" x14ac:dyDescent="0.3">
      <c r="A29" s="26" t="s">
        <v>40</v>
      </c>
      <c r="B29" s="61">
        <v>150000</v>
      </c>
      <c r="C29" s="42"/>
      <c r="D29" s="26"/>
      <c r="E29" s="61"/>
      <c r="F29" s="67"/>
      <c r="G29" s="67"/>
      <c r="H29" s="66"/>
      <c r="I29" s="68"/>
      <c r="J29" s="66"/>
      <c r="K29" s="9"/>
      <c r="L29" s="9"/>
      <c r="M29" s="9"/>
      <c r="N29" s="9"/>
      <c r="O29" s="9"/>
      <c r="V29" s="29"/>
      <c r="Z29" s="60"/>
      <c r="AA29" s="60"/>
      <c r="AB29" s="60"/>
    </row>
    <row r="30" spans="1:29" x14ac:dyDescent="0.3">
      <c r="A30" s="183" t="s">
        <v>44</v>
      </c>
      <c r="B30" s="184">
        <v>281018</v>
      </c>
      <c r="C30" s="42"/>
      <c r="D30" s="26"/>
      <c r="E30" s="61"/>
      <c r="F30" s="67"/>
      <c r="G30" s="68"/>
      <c r="H30" s="9"/>
      <c r="I30" s="68"/>
      <c r="J30" s="66"/>
      <c r="K30" s="9"/>
      <c r="L30" s="9"/>
      <c r="M30" s="9">
        <v>5.5</v>
      </c>
      <c r="N30" s="9"/>
      <c r="O30" s="9"/>
      <c r="V30" s="29"/>
      <c r="Z30" s="60"/>
      <c r="AA30" s="60"/>
      <c r="AB30" s="60"/>
    </row>
    <row r="31" spans="1:29" ht="15" thickBot="1" x14ac:dyDescent="0.35">
      <c r="A31" s="26" t="s">
        <v>52</v>
      </c>
      <c r="B31" s="61">
        <v>450000</v>
      </c>
      <c r="C31" s="42"/>
      <c r="D31" s="26"/>
      <c r="E31" s="61"/>
      <c r="F31" s="66" t="s">
        <v>14</v>
      </c>
      <c r="G31" s="66"/>
      <c r="H31" s="66"/>
      <c r="K31" s="66"/>
      <c r="L31" s="9"/>
      <c r="M31" s="9">
        <v>5.5</v>
      </c>
      <c r="N31" s="9"/>
      <c r="O31" s="9"/>
      <c r="V31" s="29"/>
      <c r="Z31" s="60"/>
      <c r="AA31" s="60"/>
      <c r="AB31" s="60"/>
    </row>
    <row r="32" spans="1:29" ht="15" thickBot="1" x14ac:dyDescent="0.35">
      <c r="A32" s="26" t="s">
        <v>54</v>
      </c>
      <c r="B32" s="61">
        <v>5000000</v>
      </c>
      <c r="C32" s="42"/>
      <c r="D32" s="26"/>
      <c r="E32" s="61"/>
      <c r="F32" s="71" t="s">
        <v>46</v>
      </c>
      <c r="G32" s="72" t="s">
        <v>47</v>
      </c>
      <c r="H32" s="73" t="s">
        <v>48</v>
      </c>
      <c r="I32" s="74" t="s">
        <v>49</v>
      </c>
      <c r="J32" s="75"/>
      <c r="L32" s="9"/>
      <c r="M32" s="9">
        <v>5</v>
      </c>
      <c r="N32" s="9"/>
      <c r="O32" s="9"/>
      <c r="Z32" s="60"/>
      <c r="AA32" s="60"/>
      <c r="AB32" s="60"/>
    </row>
    <row r="33" spans="1:28" ht="15" thickBot="1" x14ac:dyDescent="0.35">
      <c r="A33" s="26" t="s">
        <v>131</v>
      </c>
      <c r="B33" s="61">
        <v>492025</v>
      </c>
      <c r="C33" s="42"/>
      <c r="D33" s="76"/>
      <c r="E33" s="77"/>
      <c r="F33" s="78" t="s">
        <v>51</v>
      </c>
      <c r="G33" s="43">
        <v>2290032.5</v>
      </c>
      <c r="H33" s="61">
        <f>G33/100*95-B39</f>
        <v>-39159.555749999825</v>
      </c>
      <c r="I33" s="79"/>
      <c r="J33" s="80"/>
      <c r="L33" s="9"/>
      <c r="M33" s="9">
        <v>5</v>
      </c>
      <c r="N33" s="9"/>
      <c r="O33" s="9"/>
      <c r="Z33" s="60"/>
      <c r="AA33" s="60"/>
      <c r="AB33" s="60"/>
    </row>
    <row r="34" spans="1:28" x14ac:dyDescent="0.3">
      <c r="A34" s="10" t="s">
        <v>159</v>
      </c>
      <c r="B34" s="9">
        <v>451000</v>
      </c>
      <c r="C34" s="42"/>
      <c r="D34" s="26"/>
      <c r="E34" s="61"/>
      <c r="F34" s="81" t="s">
        <v>53</v>
      </c>
      <c r="G34" s="43"/>
      <c r="H34" s="61">
        <f>G34/100*94-B40</f>
        <v>0</v>
      </c>
      <c r="I34" s="79"/>
      <c r="J34" s="80"/>
      <c r="L34" s="9"/>
      <c r="M34" s="9">
        <v>5</v>
      </c>
      <c r="N34" s="9"/>
      <c r="O34" s="9"/>
      <c r="Z34" s="60"/>
      <c r="AA34" s="60"/>
      <c r="AB34" s="60"/>
    </row>
    <row r="35" spans="1:28" x14ac:dyDescent="0.3">
      <c r="A35" s="26"/>
      <c r="B35" s="61"/>
      <c r="C35" s="42"/>
      <c r="D35" s="26"/>
      <c r="E35" s="61"/>
      <c r="F35" s="78" t="s">
        <v>11</v>
      </c>
      <c r="G35" s="43"/>
      <c r="H35" s="61">
        <f>G35/100*94.5-B41</f>
        <v>0</v>
      </c>
      <c r="I35" s="82" t="s">
        <v>55</v>
      </c>
      <c r="J35" s="83">
        <v>42000</v>
      </c>
      <c r="L35" s="9"/>
      <c r="M35" s="9">
        <v>5.5</v>
      </c>
      <c r="N35" s="9"/>
      <c r="O35" s="9"/>
      <c r="Z35" s="60"/>
      <c r="AA35" s="60"/>
      <c r="AB35" s="60"/>
    </row>
    <row r="36" spans="1:28" x14ac:dyDescent="0.3">
      <c r="B36" s="9"/>
      <c r="C36" s="42"/>
      <c r="D36" s="84"/>
      <c r="E36" s="61"/>
      <c r="F36" s="78" t="s">
        <v>57</v>
      </c>
      <c r="G36" s="43"/>
      <c r="H36" s="61">
        <f>G36/100*94.5-B42</f>
        <v>0</v>
      </c>
      <c r="I36" s="82" t="s">
        <v>58</v>
      </c>
      <c r="J36" s="83">
        <v>45000</v>
      </c>
      <c r="L36" s="9"/>
      <c r="M36" s="9">
        <v>5.5</v>
      </c>
      <c r="N36" s="9"/>
      <c r="O36" s="9"/>
      <c r="P36" s="9"/>
      <c r="Z36" s="60"/>
      <c r="AA36" s="60"/>
      <c r="AB36" s="60"/>
    </row>
    <row r="37" spans="1:28" x14ac:dyDescent="0.3">
      <c r="A37" s="26"/>
      <c r="B37" s="61"/>
      <c r="C37" s="42"/>
      <c r="D37" s="62"/>
      <c r="E37" s="61"/>
      <c r="F37" s="81" t="s">
        <v>60</v>
      </c>
      <c r="G37" s="85"/>
      <c r="H37" s="86">
        <f>G37/100*95.5-B43</f>
        <v>0</v>
      </c>
      <c r="I37" s="10" t="s">
        <v>61</v>
      </c>
      <c r="J37" s="83">
        <v>406000</v>
      </c>
      <c r="L37" s="87"/>
      <c r="M37" s="9">
        <v>5.5</v>
      </c>
      <c r="N37" s="9"/>
      <c r="Z37" s="60"/>
      <c r="AA37" s="60"/>
      <c r="AB37" s="60"/>
    </row>
    <row r="38" spans="1:28" x14ac:dyDescent="0.3">
      <c r="A38" s="39" t="s">
        <v>62</v>
      </c>
      <c r="B38" s="14"/>
      <c r="C38" s="42"/>
      <c r="D38" s="26"/>
      <c r="E38" s="35"/>
      <c r="F38" s="81" t="s">
        <v>63</v>
      </c>
      <c r="G38" s="43">
        <v>266000</v>
      </c>
      <c r="H38" s="61">
        <f>G38/100*94.5-B45</f>
        <v>-7740.5999999999767</v>
      </c>
      <c r="I38" s="10" t="s">
        <v>64</v>
      </c>
      <c r="J38" s="83">
        <v>580000</v>
      </c>
      <c r="L38" s="87"/>
      <c r="M38" s="9"/>
      <c r="N38" s="9"/>
      <c r="Z38" s="60"/>
      <c r="AA38" s="60"/>
      <c r="AB38" s="60"/>
    </row>
    <row r="39" spans="1:28" x14ac:dyDescent="0.3">
      <c r="A39" s="11" t="s">
        <v>65</v>
      </c>
      <c r="B39" s="14">
        <f>G33/100*96.71</f>
        <v>2214690.4307499998</v>
      </c>
      <c r="C39" s="42"/>
      <c r="D39" s="26"/>
      <c r="E39" s="61"/>
      <c r="F39" s="81" t="s">
        <v>66</v>
      </c>
      <c r="G39" s="43"/>
      <c r="H39" s="61">
        <f>G39/100*94.5-B44</f>
        <v>0</v>
      </c>
      <c r="I39" s="10" t="s">
        <v>67</v>
      </c>
      <c r="J39" s="88">
        <v>8000</v>
      </c>
      <c r="L39" s="89"/>
      <c r="M39" s="9"/>
      <c r="N39" s="9"/>
      <c r="Z39" s="60"/>
      <c r="AA39" s="60"/>
      <c r="AB39" s="60"/>
    </row>
    <row r="40" spans="1:28" x14ac:dyDescent="0.3">
      <c r="A40" s="11" t="s">
        <v>68</v>
      </c>
      <c r="B40" s="14">
        <f>G34/100*96.26</f>
        <v>0</v>
      </c>
      <c r="C40" s="42"/>
      <c r="D40" s="26"/>
      <c r="E40" s="61"/>
      <c r="F40" s="81" t="s">
        <v>69</v>
      </c>
      <c r="G40" s="43"/>
      <c r="H40" s="90">
        <f>G40/100*95-B46</f>
        <v>0</v>
      </c>
      <c r="I40" s="10" t="s">
        <v>70</v>
      </c>
      <c r="J40" s="88">
        <v>114000</v>
      </c>
      <c r="K40" s="9"/>
      <c r="L40" s="89"/>
      <c r="M40" s="9"/>
      <c r="N40" s="9"/>
      <c r="Z40" s="60"/>
      <c r="AA40" s="60"/>
      <c r="AB40" s="60"/>
    </row>
    <row r="41" spans="1:28" x14ac:dyDescent="0.3">
      <c r="A41" s="11" t="s">
        <v>11</v>
      </c>
      <c r="B41" s="14">
        <f>G35/100*96.2</f>
        <v>0</v>
      </c>
      <c r="C41" s="42"/>
      <c r="D41" s="26"/>
      <c r="E41" s="61"/>
      <c r="F41" s="81"/>
      <c r="G41" s="43"/>
      <c r="H41" s="91"/>
      <c r="I41" s="10" t="s">
        <v>71</v>
      </c>
      <c r="J41" s="88">
        <v>90000</v>
      </c>
      <c r="L41" s="9"/>
      <c r="M41" s="9"/>
      <c r="N41" s="9"/>
      <c r="Z41" s="60"/>
      <c r="AA41" s="60"/>
      <c r="AB41" s="60"/>
    </row>
    <row r="42" spans="1:28" x14ac:dyDescent="0.3">
      <c r="A42" s="11" t="s">
        <v>57</v>
      </c>
      <c r="B42" s="14">
        <f>G36/100*96.26</f>
        <v>0</v>
      </c>
      <c r="C42" s="42"/>
      <c r="D42" s="26"/>
      <c r="E42" s="61"/>
      <c r="F42" s="81"/>
      <c r="G42" s="49"/>
      <c r="H42" s="91"/>
      <c r="I42" s="10" t="s">
        <v>72</v>
      </c>
      <c r="J42" s="92">
        <v>100000</v>
      </c>
      <c r="L42" s="9"/>
      <c r="M42" s="9"/>
      <c r="N42" s="9"/>
      <c r="Z42" s="60"/>
      <c r="AA42" s="60"/>
      <c r="AB42" s="60"/>
    </row>
    <row r="43" spans="1:28" x14ac:dyDescent="0.3">
      <c r="A43" s="26" t="s">
        <v>73</v>
      </c>
      <c r="B43" s="185">
        <f>G37/100*96.86</f>
        <v>0</v>
      </c>
      <c r="C43" s="42"/>
      <c r="D43" s="26"/>
      <c r="E43" s="61"/>
      <c r="F43" s="81"/>
      <c r="G43" s="49"/>
      <c r="H43" s="91"/>
      <c r="I43" s="82" t="s">
        <v>74</v>
      </c>
      <c r="J43" s="88">
        <v>35000</v>
      </c>
      <c r="L43" s="89"/>
      <c r="M43" s="7"/>
      <c r="N43" s="7"/>
      <c r="Z43" s="60"/>
      <c r="AA43" s="60"/>
      <c r="AB43" s="60"/>
    </row>
    <row r="44" spans="1:28" x14ac:dyDescent="0.3">
      <c r="A44" s="26" t="s">
        <v>66</v>
      </c>
      <c r="B44" s="61">
        <f>G39/100*97.41</f>
        <v>0</v>
      </c>
      <c r="C44" s="42"/>
      <c r="D44" s="26"/>
      <c r="E44" s="61"/>
      <c r="F44" s="94" t="s">
        <v>75</v>
      </c>
      <c r="G44" s="95">
        <f>SUM(G33+G34+G35+G36+G38+G39)</f>
        <v>2556032.5</v>
      </c>
      <c r="H44" s="96">
        <f>SUM(H33:H43)</f>
        <v>-46900.155749999802</v>
      </c>
      <c r="I44" s="10" t="s">
        <v>76</v>
      </c>
      <c r="J44" s="97">
        <v>30000</v>
      </c>
      <c r="K44" s="9"/>
      <c r="L44" s="9"/>
      <c r="M44" s="9"/>
      <c r="N44" s="9"/>
      <c r="Z44" s="60"/>
      <c r="AA44" s="60"/>
      <c r="AB44" s="60"/>
    </row>
    <row r="45" spans="1:28" x14ac:dyDescent="0.3">
      <c r="A45" s="26" t="s">
        <v>138</v>
      </c>
      <c r="B45" s="61">
        <f>G38/100*97.41</f>
        <v>259110.59999999998</v>
      </c>
      <c r="C45" s="42"/>
      <c r="D45" s="26"/>
      <c r="E45" s="61"/>
      <c r="F45" s="98" t="s">
        <v>78</v>
      </c>
      <c r="G45" s="99" t="s">
        <v>79</v>
      </c>
      <c r="H45" s="100" t="s">
        <v>80</v>
      </c>
      <c r="I45" s="10" t="s">
        <v>81</v>
      </c>
      <c r="J45" s="97">
        <v>150000</v>
      </c>
      <c r="L45" s="9"/>
      <c r="M45" s="9"/>
      <c r="N45" s="9"/>
      <c r="Z45" s="60"/>
      <c r="AA45" s="60"/>
      <c r="AB45" s="60"/>
    </row>
    <row r="46" spans="1:28" x14ac:dyDescent="0.3">
      <c r="A46" s="62" t="s">
        <v>69</v>
      </c>
      <c r="B46" s="61">
        <f>G40/100*97.41</f>
        <v>0</v>
      </c>
      <c r="C46" s="42"/>
      <c r="D46" s="26"/>
      <c r="E46" s="61"/>
      <c r="F46" s="101" t="s">
        <v>44</v>
      </c>
      <c r="G46" s="102"/>
      <c r="H46" s="103">
        <f>G46/100*96</f>
        <v>0</v>
      </c>
      <c r="I46" s="104" t="s">
        <v>82</v>
      </c>
      <c r="J46" s="97">
        <v>100000</v>
      </c>
      <c r="L46" s="9"/>
      <c r="M46" s="9"/>
      <c r="N46" s="9"/>
      <c r="Z46" s="60"/>
      <c r="AA46" s="60"/>
      <c r="AB46" s="60"/>
    </row>
    <row r="47" spans="1:28" x14ac:dyDescent="0.3">
      <c r="A47" s="105" t="s">
        <v>83</v>
      </c>
      <c r="B47" s="186">
        <f>SUM(B2:B46)</f>
        <v>28791214.030750003</v>
      </c>
      <c r="C47" s="42"/>
      <c r="D47" s="26"/>
      <c r="E47" s="61"/>
      <c r="F47" s="101" t="s">
        <v>84</v>
      </c>
      <c r="G47" s="107"/>
      <c r="H47" s="108">
        <f>G47</f>
        <v>0</v>
      </c>
      <c r="L47" s="89"/>
      <c r="M47" s="9"/>
      <c r="N47" s="9"/>
      <c r="Z47" s="60"/>
      <c r="AA47" s="60"/>
      <c r="AB47" s="60"/>
    </row>
    <row r="48" spans="1:28" x14ac:dyDescent="0.3">
      <c r="A48" s="54" t="s">
        <v>85</v>
      </c>
      <c r="B48" s="14"/>
      <c r="C48" s="42"/>
      <c r="D48" s="26"/>
      <c r="E48" s="61"/>
      <c r="F48" s="109" t="s">
        <v>86</v>
      </c>
      <c r="G48" s="107"/>
      <c r="H48" s="108">
        <f>-G48</f>
        <v>0</v>
      </c>
      <c r="L48" s="9"/>
      <c r="M48" s="9"/>
      <c r="N48" s="110"/>
      <c r="Z48" s="60"/>
      <c r="AA48" s="60"/>
      <c r="AB48" s="60"/>
    </row>
    <row r="49" spans="1:29" x14ac:dyDescent="0.3">
      <c r="A49" s="54" t="s">
        <v>87</v>
      </c>
      <c r="B49" s="14">
        <v>46900</v>
      </c>
      <c r="C49" s="42"/>
      <c r="D49" s="26"/>
      <c r="E49" s="61"/>
      <c r="F49" s="109" t="s">
        <v>88</v>
      </c>
      <c r="G49" s="107">
        <v>-281018</v>
      </c>
      <c r="H49" s="108"/>
      <c r="J49" s="111">
        <f ca="1">SUM(J35:J54)</f>
        <v>1700000</v>
      </c>
      <c r="L49" s="9"/>
      <c r="M49" s="9"/>
      <c r="N49" s="9"/>
      <c r="Z49" s="60"/>
      <c r="AA49" s="60"/>
      <c r="AB49" s="60"/>
    </row>
    <row r="50" spans="1:29" x14ac:dyDescent="0.3">
      <c r="A50" s="112" t="s">
        <v>44</v>
      </c>
      <c r="B50" s="20">
        <f>G46*0.015</f>
        <v>0</v>
      </c>
      <c r="C50" s="42"/>
      <c r="D50" s="26"/>
      <c r="E50" s="61"/>
      <c r="F50" s="109"/>
      <c r="G50" s="107"/>
      <c r="H50" s="108"/>
      <c r="L50" s="9"/>
      <c r="M50" s="9"/>
      <c r="N50" s="9"/>
      <c r="X50" s="48"/>
      <c r="Y50" s="104"/>
      <c r="Z50" s="114"/>
      <c r="AA50" s="115"/>
      <c r="AB50" s="115"/>
    </row>
    <row r="51" spans="1:29" ht="14.4" customHeight="1" x14ac:dyDescent="0.3">
      <c r="A51" s="26" t="s">
        <v>179</v>
      </c>
      <c r="B51" s="61">
        <v>46800</v>
      </c>
      <c r="C51" s="42"/>
      <c r="D51" s="26"/>
      <c r="E51" s="61"/>
      <c r="F51" s="116" t="s">
        <v>90</v>
      </c>
      <c r="G51" s="117">
        <f>G47-H46-G48+G49</f>
        <v>-281018</v>
      </c>
      <c r="H51" s="118"/>
      <c r="K51" s="9"/>
      <c r="L51" s="9"/>
      <c r="M51" s="9"/>
      <c r="N51" s="9"/>
      <c r="S51" s="104"/>
      <c r="X51" s="29"/>
      <c r="Y51" s="104"/>
      <c r="Z51" s="104"/>
      <c r="AA51" s="82"/>
      <c r="AB51" s="119"/>
    </row>
    <row r="52" spans="1:29" ht="15" customHeight="1" thickBot="1" x14ac:dyDescent="0.35">
      <c r="A52" s="54" t="s">
        <v>152</v>
      </c>
      <c r="B52" s="14">
        <v>100000</v>
      </c>
      <c r="C52" s="42"/>
      <c r="D52" s="54"/>
      <c r="E52" s="120"/>
      <c r="F52" s="121"/>
      <c r="G52" s="122"/>
      <c r="H52" s="123"/>
      <c r="K52" s="9"/>
      <c r="L52" s="9"/>
      <c r="M52" s="9"/>
      <c r="N52" s="9"/>
      <c r="S52" s="104"/>
      <c r="Y52" s="104"/>
      <c r="Z52" s="104"/>
      <c r="AA52" s="82"/>
      <c r="AB52" s="119"/>
    </row>
    <row r="53" spans="1:29" ht="14.4" customHeight="1" x14ac:dyDescent="0.3">
      <c r="A53" s="54" t="s">
        <v>123</v>
      </c>
      <c r="B53" s="120">
        <v>100000</v>
      </c>
      <c r="C53" s="42"/>
      <c r="D53" s="54"/>
      <c r="E53" s="120"/>
      <c r="F53" s="125" t="s">
        <v>91</v>
      </c>
      <c r="G53" s="126"/>
      <c r="H53" s="127"/>
      <c r="I53" s="9"/>
      <c r="J53" s="111"/>
      <c r="K53" s="9"/>
      <c r="L53" s="9"/>
      <c r="M53" s="9"/>
      <c r="N53" s="9"/>
      <c r="S53" s="104"/>
      <c r="X53" s="29"/>
      <c r="Y53" s="104"/>
      <c r="Z53" s="104"/>
      <c r="AB53" s="119"/>
    </row>
    <row r="54" spans="1:29" ht="14.4" customHeight="1" x14ac:dyDescent="0.3">
      <c r="A54" s="54" t="s">
        <v>155</v>
      </c>
      <c r="B54" s="14">
        <v>10000</v>
      </c>
      <c r="C54" s="42"/>
      <c r="D54" s="54"/>
      <c r="E54" s="120"/>
      <c r="F54" s="24" t="s">
        <v>92</v>
      </c>
      <c r="G54" s="43">
        <v>1166630</v>
      </c>
      <c r="H54" s="61">
        <f>G54/100*94.5</f>
        <v>1102465.3499999999</v>
      </c>
      <c r="I54" s="104"/>
      <c r="J54" s="104"/>
      <c r="K54" s="9"/>
      <c r="L54" s="9"/>
      <c r="M54" s="9"/>
      <c r="N54" s="9"/>
      <c r="P54" s="82"/>
      <c r="Q54" s="82"/>
      <c r="S54" s="9"/>
      <c r="X54" s="29"/>
      <c r="Y54" s="104"/>
      <c r="Z54" s="104"/>
      <c r="AB54" s="119"/>
    </row>
    <row r="55" spans="1:29" x14ac:dyDescent="0.3">
      <c r="A55" s="54"/>
      <c r="B55" s="14"/>
      <c r="C55" s="42"/>
      <c r="D55" s="54"/>
      <c r="E55" s="120"/>
      <c r="F55" s="24" t="s">
        <v>93</v>
      </c>
      <c r="G55" s="43">
        <v>1083300</v>
      </c>
      <c r="H55" s="61">
        <f>-G55</f>
        <v>-1083300</v>
      </c>
      <c r="I55" s="9"/>
      <c r="J55" s="9"/>
      <c r="K55" s="9"/>
      <c r="L55" s="9"/>
      <c r="M55" s="9"/>
      <c r="N55" s="9"/>
      <c r="P55" s="82"/>
      <c r="Q55" s="119"/>
      <c r="S55" s="9"/>
      <c r="X55" s="29"/>
      <c r="Y55" s="104"/>
      <c r="Z55" s="104"/>
      <c r="AB55" s="119"/>
    </row>
    <row r="56" spans="1:29" x14ac:dyDescent="0.3">
      <c r="A56" s="54"/>
      <c r="B56" s="14"/>
      <c r="C56" s="42"/>
      <c r="D56" s="54"/>
      <c r="E56" s="120"/>
      <c r="F56" s="24" t="s">
        <v>94</v>
      </c>
      <c r="G56" s="43">
        <v>14418</v>
      </c>
      <c r="H56" s="61">
        <f>G56</f>
        <v>14418</v>
      </c>
      <c r="I56" s="9"/>
      <c r="J56" s="111"/>
      <c r="K56" s="9"/>
      <c r="L56" s="9"/>
      <c r="M56" s="9"/>
      <c r="N56" s="9"/>
      <c r="P56" s="82"/>
      <c r="Q56" s="119"/>
      <c r="S56" s="9"/>
      <c r="Y56" s="104"/>
      <c r="Z56" s="104"/>
      <c r="AB56" s="128"/>
    </row>
    <row r="57" spans="1:29" ht="15" thickBot="1" x14ac:dyDescent="0.35">
      <c r="A57" s="54"/>
      <c r="B57" s="14"/>
      <c r="C57" s="42"/>
      <c r="D57" s="26"/>
      <c r="E57" s="120"/>
      <c r="F57" s="147"/>
      <c r="G57" s="172" t="s">
        <v>162</v>
      </c>
      <c r="H57" s="149">
        <f>SUM(H54:H56)</f>
        <v>33583.34999999986</v>
      </c>
      <c r="I57" s="51"/>
      <c r="J57" s="129"/>
      <c r="K57" s="9"/>
      <c r="L57" s="9"/>
      <c r="M57" s="9"/>
      <c r="N57" s="9"/>
      <c r="Q57" s="119"/>
      <c r="S57" s="9"/>
      <c r="Y57" s="104"/>
      <c r="Z57" s="104"/>
      <c r="AB57" s="128"/>
      <c r="AC57" s="104"/>
    </row>
    <row r="58" spans="1:29" x14ac:dyDescent="0.3">
      <c r="A58" s="62"/>
      <c r="B58" s="63"/>
      <c r="C58" s="42"/>
      <c r="D58" s="26"/>
      <c r="E58" s="120"/>
      <c r="F58" s="133"/>
      <c r="G58" s="133"/>
      <c r="H58" s="133"/>
      <c r="I58" s="104"/>
      <c r="J58" s="104"/>
      <c r="K58" s="9"/>
      <c r="L58" s="9"/>
      <c r="M58" s="9"/>
      <c r="N58" s="9"/>
      <c r="Q58" s="119"/>
      <c r="S58" s="9"/>
      <c r="Y58" s="104"/>
      <c r="Z58" s="104"/>
      <c r="AB58" s="128"/>
      <c r="AC58" s="104"/>
    </row>
    <row r="59" spans="1:29" x14ac:dyDescent="0.3">
      <c r="A59" s="54"/>
      <c r="B59" s="14"/>
      <c r="C59" s="42"/>
      <c r="D59" s="26"/>
      <c r="E59" s="120"/>
      <c r="F59" s="104"/>
      <c r="G59" s="104"/>
      <c r="H59" s="104"/>
      <c r="I59" s="104"/>
      <c r="J59" s="104"/>
      <c r="K59" s="9"/>
      <c r="L59" s="9"/>
      <c r="M59" s="9"/>
      <c r="N59" s="9"/>
      <c r="O59" s="9"/>
      <c r="Q59" s="119"/>
      <c r="S59" s="104"/>
      <c r="X59" s="48"/>
      <c r="Y59" s="104"/>
      <c r="Z59" s="104"/>
      <c r="AB59" s="128"/>
      <c r="AC59" s="104"/>
    </row>
    <row r="60" spans="1:29" x14ac:dyDescent="0.3">
      <c r="A60" s="54"/>
      <c r="B60" s="14"/>
      <c r="C60" s="42"/>
      <c r="D60" s="26"/>
      <c r="E60" s="14"/>
      <c r="F60" s="104"/>
      <c r="G60" s="104"/>
      <c r="H60" s="104"/>
      <c r="I60" s="104"/>
      <c r="J60" s="104"/>
      <c r="K60" s="9"/>
      <c r="L60" s="9"/>
      <c r="M60" s="9"/>
      <c r="N60" s="9"/>
      <c r="O60" s="9"/>
      <c r="Q60" s="128"/>
      <c r="S60" s="104"/>
      <c r="X60" s="133"/>
      <c r="Y60" s="133"/>
      <c r="Z60" s="133"/>
      <c r="AB60" s="128"/>
      <c r="AC60" s="104"/>
    </row>
    <row r="61" spans="1:29" ht="15" thickBot="1" x14ac:dyDescent="0.35">
      <c r="A61" s="27"/>
      <c r="B61" s="28"/>
      <c r="C61" s="42"/>
      <c r="D61" s="135"/>
      <c r="E61" s="173"/>
      <c r="F61" s="104"/>
      <c r="G61" s="104"/>
      <c r="H61" s="104"/>
      <c r="I61" s="104"/>
      <c r="J61" s="104"/>
      <c r="K61" s="9"/>
      <c r="L61" s="9"/>
      <c r="M61" s="9"/>
      <c r="N61" s="9"/>
      <c r="O61" s="9"/>
      <c r="Q61" s="128"/>
      <c r="S61" s="104"/>
      <c r="X61" s="104"/>
      <c r="Y61" s="104"/>
      <c r="Z61" s="104"/>
      <c r="AB61" s="137"/>
      <c r="AC61" s="104"/>
    </row>
    <row r="62" spans="1:29" ht="15" thickBot="1" x14ac:dyDescent="0.35">
      <c r="A62" s="138" t="s">
        <v>96</v>
      </c>
      <c r="B62" s="187">
        <f>SUM(B49:B61)</f>
        <v>303700</v>
      </c>
      <c r="C62" s="188"/>
      <c r="D62" s="141" t="s">
        <v>16</v>
      </c>
      <c r="E62" s="174">
        <f>SUM(E11:E61)</f>
        <v>511900</v>
      </c>
      <c r="F62" s="104"/>
      <c r="G62" s="51"/>
      <c r="H62" s="104"/>
      <c r="I62" s="9"/>
      <c r="J62" s="9"/>
      <c r="K62" s="9"/>
      <c r="L62" s="9"/>
      <c r="M62" s="9"/>
      <c r="N62" s="9"/>
      <c r="O62" s="9"/>
      <c r="Q62" s="128"/>
      <c r="X62" s="104"/>
      <c r="Y62" s="104"/>
      <c r="Z62" s="104"/>
      <c r="AA62" s="143"/>
      <c r="AB62" s="144"/>
      <c r="AC62" s="104"/>
    </row>
    <row r="63" spans="1:29" x14ac:dyDescent="0.3">
      <c r="B63" s="10" t="s">
        <v>97</v>
      </c>
      <c r="C63" s="145"/>
      <c r="E63" s="104"/>
      <c r="F63" s="175"/>
      <c r="G63" s="175"/>
      <c r="H63" s="175">
        <v>2290032.5</v>
      </c>
      <c r="I63" s="9"/>
      <c r="J63" s="9"/>
      <c r="K63" s="9"/>
      <c r="L63" s="9"/>
      <c r="M63" s="9"/>
      <c r="N63" s="9"/>
      <c r="O63" s="9"/>
      <c r="Q63" s="128"/>
      <c r="X63" s="104"/>
      <c r="Y63" s="104"/>
      <c r="Z63" s="104"/>
      <c r="AB63" s="104"/>
      <c r="AC63" s="104"/>
    </row>
    <row r="64" spans="1:29" x14ac:dyDescent="0.3">
      <c r="C64" s="145"/>
      <c r="D64" s="146"/>
      <c r="E64" s="146"/>
      <c r="F64" s="104"/>
      <c r="G64" s="104"/>
      <c r="H64" s="104"/>
      <c r="I64" s="9"/>
      <c r="J64" s="9"/>
      <c r="K64" s="104"/>
      <c r="L64" s="104"/>
      <c r="M64" s="9"/>
      <c r="N64" s="9"/>
      <c r="O64" s="9"/>
      <c r="Q64" s="128"/>
      <c r="X64" s="104"/>
      <c r="Y64" s="104"/>
      <c r="Z64" s="104"/>
      <c r="AC64" s="104"/>
    </row>
    <row r="65" spans="1:29" x14ac:dyDescent="0.3">
      <c r="C65" s="145"/>
      <c r="E65" s="128"/>
      <c r="F65" s="104"/>
      <c r="G65" s="104"/>
      <c r="H65" s="104"/>
      <c r="I65" s="9"/>
      <c r="J65" s="9"/>
      <c r="K65" s="104"/>
      <c r="L65" s="104"/>
      <c r="M65" s="9"/>
      <c r="N65" s="9"/>
      <c r="O65" s="9"/>
      <c r="Q65" s="137"/>
      <c r="X65" s="104"/>
      <c r="Y65" s="51"/>
      <c r="Z65" s="104"/>
      <c r="AB65" s="104"/>
      <c r="AC65" s="104"/>
    </row>
    <row r="66" spans="1:29" x14ac:dyDescent="0.3">
      <c r="C66" s="145"/>
      <c r="E66" s="128"/>
      <c r="F66" s="104"/>
      <c r="G66" s="104"/>
      <c r="H66" s="104"/>
      <c r="I66" s="9"/>
      <c r="J66" s="104"/>
      <c r="K66" s="104"/>
      <c r="L66" s="104"/>
      <c r="M66" s="9"/>
      <c r="N66" s="9"/>
      <c r="O66" s="9"/>
      <c r="P66" s="143"/>
      <c r="Q66" s="144"/>
      <c r="X66" s="150"/>
      <c r="Y66" s="150"/>
      <c r="Z66" s="150"/>
      <c r="AB66" s="104"/>
      <c r="AC66" s="104"/>
    </row>
    <row r="67" spans="1:29" x14ac:dyDescent="0.3">
      <c r="C67" s="151"/>
      <c r="E67" s="128"/>
      <c r="F67" s="104"/>
      <c r="G67" s="51"/>
      <c r="H67" s="104"/>
      <c r="I67" s="9"/>
      <c r="J67" s="104"/>
      <c r="K67" s="37"/>
      <c r="L67" s="104"/>
      <c r="M67" s="9"/>
      <c r="N67" s="9"/>
      <c r="O67" s="9"/>
      <c r="Q67" s="104"/>
      <c r="X67" s="104"/>
      <c r="Y67" s="104"/>
      <c r="Z67" s="104"/>
      <c r="AB67" s="104"/>
      <c r="AC67" s="104"/>
    </row>
    <row r="68" spans="1:29" x14ac:dyDescent="0.3">
      <c r="C68" s="151"/>
      <c r="E68" s="128"/>
      <c r="F68" s="154"/>
      <c r="G68" s="104"/>
      <c r="H68" s="37"/>
      <c r="I68" s="104"/>
      <c r="J68" s="104"/>
      <c r="K68" s="9"/>
      <c r="L68" s="104"/>
      <c r="M68" s="9"/>
      <c r="N68" s="9"/>
      <c r="O68" s="9"/>
      <c r="X68" s="104"/>
      <c r="Y68" s="104"/>
      <c r="Z68" s="104"/>
      <c r="AB68" s="104"/>
      <c r="AC68" s="104"/>
    </row>
    <row r="69" spans="1:29" x14ac:dyDescent="0.3">
      <c r="C69" s="151"/>
      <c r="D69" s="104"/>
      <c r="E69" s="128"/>
      <c r="F69" s="154"/>
      <c r="G69" s="104"/>
      <c r="H69" s="104"/>
      <c r="I69" s="104"/>
      <c r="J69" s="9"/>
      <c r="K69" s="104"/>
      <c r="L69" s="104"/>
      <c r="M69" s="9"/>
      <c r="N69" s="9"/>
      <c r="O69" s="9"/>
      <c r="Q69" s="104"/>
      <c r="X69" s="104"/>
      <c r="Y69" s="104"/>
      <c r="Z69" s="104"/>
      <c r="AA69" s="104"/>
      <c r="AB69" s="104"/>
      <c r="AC69" s="104"/>
    </row>
    <row r="70" spans="1:29" x14ac:dyDescent="0.3">
      <c r="C70" s="151"/>
      <c r="E70" s="128"/>
      <c r="F70" s="154"/>
      <c r="G70" s="9"/>
      <c r="H70" s="9"/>
      <c r="I70" s="104"/>
      <c r="J70" s="9"/>
      <c r="K70" s="9"/>
      <c r="L70" s="9"/>
      <c r="M70" s="9"/>
      <c r="N70" s="9"/>
      <c r="O70" s="155"/>
      <c r="Q70" s="104"/>
      <c r="X70" s="104"/>
      <c r="Y70" s="104"/>
      <c r="Z70" s="104"/>
      <c r="AC70" s="104"/>
    </row>
    <row r="71" spans="1:29" x14ac:dyDescent="0.3">
      <c r="C71" s="151"/>
      <c r="E71" s="128"/>
      <c r="F71" s="154"/>
      <c r="G71" s="154"/>
      <c r="H71" s="104"/>
      <c r="I71" s="9"/>
      <c r="J71" s="9"/>
      <c r="K71" s="9"/>
      <c r="L71" s="9"/>
      <c r="M71" s="9"/>
      <c r="N71" s="9"/>
      <c r="Q71" s="104"/>
      <c r="X71" s="104"/>
      <c r="Y71" s="51"/>
      <c r="Z71" s="104"/>
      <c r="AC71" s="104"/>
    </row>
    <row r="72" spans="1:29" x14ac:dyDescent="0.3">
      <c r="C72" s="151"/>
      <c r="E72" s="128"/>
      <c r="F72" s="156"/>
      <c r="G72" s="154"/>
      <c r="H72" s="104"/>
      <c r="I72" s="9"/>
      <c r="J72" s="9"/>
      <c r="K72" s="9"/>
      <c r="L72" s="9"/>
      <c r="M72" s="9"/>
      <c r="N72" s="9"/>
      <c r="Q72" s="104"/>
      <c r="X72" s="104"/>
      <c r="AC72" s="104"/>
    </row>
    <row r="73" spans="1:29" x14ac:dyDescent="0.3">
      <c r="C73" s="151"/>
      <c r="E73" s="128"/>
      <c r="F73" s="104"/>
      <c r="G73" s="154"/>
      <c r="H73" s="9"/>
      <c r="I73" s="104"/>
      <c r="J73" s="37"/>
      <c r="K73" s="9"/>
      <c r="L73" s="9"/>
      <c r="M73" s="9"/>
      <c r="O73" s="37"/>
      <c r="P73" s="104"/>
      <c r="Q73" s="104"/>
      <c r="X73" s="114"/>
    </row>
    <row r="74" spans="1:29" x14ac:dyDescent="0.3">
      <c r="C74" s="157"/>
      <c r="E74" s="128"/>
      <c r="F74" s="9"/>
      <c r="G74" s="158"/>
      <c r="H74" s="9"/>
      <c r="I74" s="104"/>
      <c r="J74" s="37"/>
      <c r="K74" s="9"/>
      <c r="L74" s="9"/>
      <c r="M74" s="9"/>
      <c r="X74" s="114"/>
      <c r="Y74" s="104"/>
      <c r="Z74" s="104"/>
      <c r="AB74" s="104"/>
    </row>
    <row r="75" spans="1:29" x14ac:dyDescent="0.3">
      <c r="A75" s="10" t="s">
        <v>99</v>
      </c>
      <c r="C75" s="157"/>
      <c r="E75" s="159"/>
      <c r="F75" s="104"/>
      <c r="G75" s="104"/>
      <c r="H75" s="104"/>
      <c r="I75" s="104"/>
      <c r="K75" s="9"/>
      <c r="L75" s="9"/>
      <c r="M75" s="9"/>
      <c r="N75" s="37"/>
      <c r="O75" s="37"/>
      <c r="X75" s="114"/>
      <c r="Y75" s="104"/>
      <c r="Z75" s="104"/>
    </row>
    <row r="76" spans="1:29" x14ac:dyDescent="0.3">
      <c r="A76" s="10" t="s">
        <v>100</v>
      </c>
      <c r="C76" s="157"/>
      <c r="E76" s="160"/>
      <c r="F76" s="161"/>
      <c r="G76" s="162"/>
      <c r="H76" s="163"/>
      <c r="I76" s="163"/>
      <c r="K76" s="9"/>
      <c r="L76" s="37"/>
      <c r="M76" s="9"/>
      <c r="X76" s="114"/>
      <c r="Y76" s="104"/>
      <c r="Z76" s="104"/>
    </row>
    <row r="77" spans="1:29" x14ac:dyDescent="0.3">
      <c r="A77" s="10" t="s">
        <v>101</v>
      </c>
      <c r="C77" s="157"/>
      <c r="E77" s="164"/>
      <c r="F77" s="161"/>
      <c r="G77" s="162"/>
      <c r="H77" s="163"/>
      <c r="I77" s="163"/>
      <c r="K77" s="37"/>
      <c r="L77" s="37"/>
      <c r="M77" s="9"/>
      <c r="X77" s="114"/>
      <c r="Y77" s="104"/>
      <c r="Z77" s="104"/>
    </row>
    <row r="78" spans="1:29" x14ac:dyDescent="0.3">
      <c r="A78" s="10" t="s">
        <v>102</v>
      </c>
      <c r="C78" s="157"/>
      <c r="E78" s="164"/>
      <c r="F78" s="165"/>
      <c r="G78" s="166"/>
      <c r="H78" s="163"/>
      <c r="I78" s="163"/>
      <c r="M78" s="9"/>
      <c r="Q78" s="104"/>
    </row>
    <row r="79" spans="1:29" x14ac:dyDescent="0.3">
      <c r="A79" s="10" t="s">
        <v>103</v>
      </c>
      <c r="C79" s="157"/>
      <c r="E79" s="164"/>
      <c r="F79" s="165"/>
      <c r="G79" s="165"/>
      <c r="H79" s="163"/>
      <c r="I79" s="163"/>
      <c r="M79" s="9"/>
    </row>
    <row r="80" spans="1:29" x14ac:dyDescent="0.3">
      <c r="A80" s="10" t="s">
        <v>104</v>
      </c>
      <c r="C80" s="157"/>
      <c r="F80" s="104"/>
      <c r="G80" s="104"/>
      <c r="H80" s="104"/>
      <c r="I80" s="104"/>
      <c r="K80" s="37"/>
      <c r="M80" s="9"/>
    </row>
    <row r="81" spans="1:13" x14ac:dyDescent="0.3">
      <c r="A81" s="10" t="s">
        <v>105</v>
      </c>
      <c r="C81" s="157"/>
      <c r="F81" s="104"/>
      <c r="G81" s="104"/>
      <c r="M81" s="9"/>
    </row>
    <row r="82" spans="1:13" x14ac:dyDescent="0.3">
      <c r="A82" s="10" t="s">
        <v>106</v>
      </c>
      <c r="F82" s="168"/>
      <c r="G82" s="51"/>
      <c r="H82" s="104"/>
      <c r="I82" s="104"/>
      <c r="M82" s="9"/>
    </row>
    <row r="83" spans="1:13" x14ac:dyDescent="0.3">
      <c r="A83" s="10" t="s">
        <v>107</v>
      </c>
      <c r="G83" s="104"/>
      <c r="H83" s="104"/>
      <c r="I83" s="104"/>
      <c r="K83" s="9"/>
      <c r="M83" s="9"/>
    </row>
    <row r="84" spans="1:13" x14ac:dyDescent="0.3">
      <c r="A84" s="10" t="s">
        <v>108</v>
      </c>
      <c r="G84" s="9"/>
      <c r="H84" s="9"/>
      <c r="I84" s="9"/>
      <c r="K84" s="9"/>
      <c r="M84" s="9"/>
    </row>
    <row r="85" spans="1:13" x14ac:dyDescent="0.3">
      <c r="A85" s="10" t="s">
        <v>109</v>
      </c>
      <c r="G85" s="9"/>
      <c r="H85" s="9"/>
      <c r="I85" s="9"/>
      <c r="K85" s="9"/>
      <c r="M85" s="9"/>
    </row>
    <row r="86" spans="1:13" x14ac:dyDescent="0.3">
      <c r="A86" s="10" t="s">
        <v>110</v>
      </c>
      <c r="G86" s="9"/>
      <c r="H86" s="9"/>
      <c r="I86" s="9"/>
      <c r="M86" s="9"/>
    </row>
    <row r="87" spans="1:13" x14ac:dyDescent="0.3">
      <c r="A87" s="10" t="s">
        <v>111</v>
      </c>
      <c r="G87" s="9"/>
      <c r="H87" s="9"/>
      <c r="I87" s="9"/>
      <c r="M87" s="9"/>
    </row>
    <row r="88" spans="1:13" x14ac:dyDescent="0.3">
      <c r="A88" s="10" t="s">
        <v>112</v>
      </c>
      <c r="G88" s="9"/>
      <c r="H88" s="9"/>
      <c r="I88" s="9"/>
    </row>
    <row r="89" spans="1:13" x14ac:dyDescent="0.3">
      <c r="A89" s="10" t="s">
        <v>113</v>
      </c>
      <c r="G89" s="9"/>
      <c r="H89" s="9"/>
      <c r="I89" s="9"/>
    </row>
    <row r="90" spans="1:13" x14ac:dyDescent="0.3">
      <c r="A90" s="10" t="s">
        <v>114</v>
      </c>
      <c r="G90" s="9"/>
      <c r="H90" s="9"/>
      <c r="I90" s="9"/>
    </row>
    <row r="91" spans="1:13" x14ac:dyDescent="0.3">
      <c r="A91" s="10" t="s">
        <v>115</v>
      </c>
      <c r="G91" s="9"/>
      <c r="H91" s="9"/>
      <c r="I91" s="9"/>
    </row>
    <row r="92" spans="1:13" x14ac:dyDescent="0.3">
      <c r="A92" s="10" t="s">
        <v>116</v>
      </c>
      <c r="G92" s="9"/>
      <c r="H92" s="9"/>
      <c r="I92" s="9"/>
    </row>
    <row r="93" spans="1:13" x14ac:dyDescent="0.3">
      <c r="A93" s="10" t="s">
        <v>117</v>
      </c>
      <c r="G93" s="9"/>
      <c r="H93" s="9"/>
      <c r="I93" s="9"/>
    </row>
    <row r="94" spans="1:13" x14ac:dyDescent="0.3">
      <c r="A94" s="10" t="s">
        <v>118</v>
      </c>
      <c r="G94" s="9"/>
      <c r="H94" s="9"/>
      <c r="I94" s="9"/>
    </row>
    <row r="95" spans="1:13" x14ac:dyDescent="0.3">
      <c r="A95" s="10" t="s">
        <v>119</v>
      </c>
      <c r="G95" s="9"/>
      <c r="H95" s="9"/>
      <c r="I95" s="9"/>
    </row>
    <row r="96" spans="1:13" x14ac:dyDescent="0.3">
      <c r="A96" s="10" t="s">
        <v>120</v>
      </c>
      <c r="G96" s="9"/>
      <c r="H96" s="9"/>
      <c r="I96" s="9"/>
    </row>
    <row r="97" spans="1:9" x14ac:dyDescent="0.3">
      <c r="A97" s="10" t="s">
        <v>121</v>
      </c>
      <c r="G97" s="9"/>
      <c r="H97" s="9"/>
      <c r="I97" s="9"/>
    </row>
    <row r="98" spans="1:9" x14ac:dyDescent="0.3">
      <c r="A98" s="10" t="s">
        <v>122</v>
      </c>
      <c r="G98" s="9"/>
      <c r="H98" s="9"/>
      <c r="I98" s="9"/>
    </row>
    <row r="99" spans="1:9" x14ac:dyDescent="0.3">
      <c r="G99" s="9"/>
      <c r="H99" s="9"/>
      <c r="I99" s="9"/>
    </row>
    <row r="100" spans="1:9" x14ac:dyDescent="0.3">
      <c r="G100" s="9"/>
      <c r="H100" s="9"/>
      <c r="I100" s="9"/>
    </row>
    <row r="101" spans="1:9" x14ac:dyDescent="0.3">
      <c r="G101" s="9"/>
      <c r="H101" s="9"/>
      <c r="I101" s="9"/>
    </row>
    <row r="102" spans="1:9" x14ac:dyDescent="0.3">
      <c r="G102" s="9"/>
      <c r="H102" s="9"/>
      <c r="I102" s="9"/>
    </row>
    <row r="103" spans="1:9" x14ac:dyDescent="0.3">
      <c r="G103" s="9"/>
      <c r="H103" s="9"/>
      <c r="I103" s="9"/>
    </row>
    <row r="104" spans="1:9" x14ac:dyDescent="0.3">
      <c r="G104" s="9"/>
      <c r="H104" s="9"/>
      <c r="I104" s="9"/>
    </row>
    <row r="105" spans="1:9" x14ac:dyDescent="0.3">
      <c r="G105" s="9"/>
      <c r="H105" s="9"/>
      <c r="I105" s="9"/>
    </row>
    <row r="106" spans="1:9" x14ac:dyDescent="0.3">
      <c r="H106" s="9"/>
      <c r="I106" s="9"/>
    </row>
    <row r="107" spans="1:9" x14ac:dyDescent="0.3">
      <c r="H107" s="9"/>
      <c r="I107" s="9"/>
    </row>
    <row r="108" spans="1:9" x14ac:dyDescent="0.3">
      <c r="H108" s="9"/>
      <c r="I108" s="9"/>
    </row>
    <row r="109" spans="1:9" x14ac:dyDescent="0.3">
      <c r="H109" s="9"/>
      <c r="I109" s="9"/>
    </row>
    <row r="110" spans="1:9" x14ac:dyDescent="0.3">
      <c r="H110" s="9"/>
      <c r="I110" s="9"/>
    </row>
    <row r="111" spans="1:9" x14ac:dyDescent="0.3">
      <c r="H111" s="9"/>
      <c r="I111" s="9"/>
    </row>
    <row r="112" spans="1:9" x14ac:dyDescent="0.3">
      <c r="H112" s="9"/>
      <c r="I112" s="9"/>
    </row>
    <row r="113" spans="8:9" x14ac:dyDescent="0.3">
      <c r="H113" s="9"/>
      <c r="I113" s="9"/>
    </row>
    <row r="114" spans="8:9" x14ac:dyDescent="0.3">
      <c r="I114" s="9"/>
    </row>
    <row r="115" spans="8:9" x14ac:dyDescent="0.3">
      <c r="I115" s="9"/>
    </row>
    <row r="116" spans="8:9" x14ac:dyDescent="0.3">
      <c r="I116" s="9"/>
    </row>
    <row r="117" spans="8:9" x14ac:dyDescent="0.3">
      <c r="I117" s="9"/>
    </row>
  </sheetData>
  <mergeCells count="12">
    <mergeCell ref="F53:H53"/>
    <mergeCell ref="F58:H58"/>
    <mergeCell ref="AA50:AB50"/>
    <mergeCell ref="X60:Z60"/>
    <mergeCell ref="D64:E64"/>
    <mergeCell ref="F1:G1"/>
    <mergeCell ref="F4:H18"/>
    <mergeCell ref="I4:K18"/>
    <mergeCell ref="F25:G25"/>
    <mergeCell ref="F28:G28"/>
    <mergeCell ref="F51:F52"/>
    <mergeCell ref="G51:H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04.05.2026</vt:lpstr>
      <vt:lpstr>05.05.2026</vt:lpstr>
      <vt:lpstr>06.06.2026</vt:lpstr>
      <vt:lpstr>07.05.2026</vt:lpstr>
      <vt:lpstr>08.05.2026</vt:lpstr>
      <vt:lpstr>11.05.2026</vt:lpstr>
      <vt:lpstr>12.05.2026</vt:lpstr>
      <vt:lpstr>13.05.2026</vt:lpstr>
      <vt:lpstr>14.05.2026</vt:lpstr>
      <vt:lpstr>15.05.2026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2026-05-18T06:45:35Z</dcterms:modified>
</cp:coreProperties>
</file>